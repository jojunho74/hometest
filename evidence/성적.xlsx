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elp-ad2\Desktop\"/>
    </mc:Choice>
  </mc:AlternateContent>
  <xr:revisionPtr revIDLastSave="0" documentId="13_ncr:1_{CAE1C77F-8D6A-4D20-A82D-E91E5F9AC048}" xr6:coauthVersionLast="47" xr6:coauthVersionMax="47" xr10:uidLastSave="{00000000-0000-0000-0000-000000000000}"/>
  <bookViews>
    <workbookView xWindow="-120" yWindow="-120" windowWidth="29040" windowHeight="15720" activeTab="1" xr2:uid="{440CFAAA-E19C-4618-A900-DAFB8560A5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1" i="1"/>
</calcChain>
</file>

<file path=xl/sharedStrings.xml><?xml version="1.0" encoding="utf-8"?>
<sst xmlns="http://schemas.openxmlformats.org/spreadsheetml/2006/main" count="1248" uniqueCount="531">
  <si>
    <t>기관명</t>
  </si>
  <si>
    <t>TOEIC</t>
  </si>
  <si>
    <t>TOEIC Speaking</t>
  </si>
  <si>
    <t>게임물관리위원회</t>
  </si>
  <si>
    <t>900점 이상</t>
  </si>
  <si>
    <t>160점 이상</t>
  </si>
  <si>
    <t>경기관광공사</t>
  </si>
  <si>
    <t>800점 이상</t>
  </si>
  <si>
    <t>120점 이상</t>
  </si>
  <si>
    <t>경기평택항만공사</t>
  </si>
  <si>
    <t>600점 이상</t>
  </si>
  <si>
    <t>110점 이상</t>
  </si>
  <si>
    <t>국가정보원</t>
  </si>
  <si>
    <t>-</t>
  </si>
  <si>
    <t>특정직 7급 - 160점 이상</t>
  </si>
  <si>
    <t>국립국제교육원</t>
  </si>
  <si>
    <t>750점</t>
  </si>
  <si>
    <t>Lv.5 이상</t>
  </si>
  <si>
    <t>국립부산과학관</t>
  </si>
  <si>
    <t>720점 이상</t>
  </si>
  <si>
    <t>120점</t>
  </si>
  <si>
    <t>국민건강보험공단</t>
  </si>
  <si>
    <t>신입 - 700점 이상</t>
  </si>
  <si>
    <t>인턴 - 성적필수</t>
  </si>
  <si>
    <t>신입 - 120점 이상</t>
  </si>
  <si>
    <t>군인공제회</t>
  </si>
  <si>
    <t>성적 필수</t>
  </si>
  <si>
    <t>기술보증기금</t>
  </si>
  <si>
    <t>760점 이상</t>
  </si>
  <si>
    <t>130점 이상</t>
  </si>
  <si>
    <t>기초과학연구원</t>
  </si>
  <si>
    <t>700점 이상</t>
  </si>
  <si>
    <t>대한무역투자진흥공사</t>
  </si>
  <si>
    <t>신입 - 850점 이상</t>
  </si>
  <si>
    <t>체험형 인턴(장애인 전형) - 성적우수자 우대</t>
  </si>
  <si>
    <t>체험형 인턴 - 성적보유자 우대</t>
  </si>
  <si>
    <t>신입 - 160점 이상</t>
  </si>
  <si>
    <t>대한체육회</t>
  </si>
  <si>
    <t>150점 이상 시 가점</t>
  </si>
  <si>
    <t>부산항만공사</t>
  </si>
  <si>
    <t>부산항보안공사</t>
  </si>
  <si>
    <t>서울관광재단</t>
  </si>
  <si>
    <t>Lv.6 이상</t>
  </si>
  <si>
    <t>서울시립교향악단</t>
  </si>
  <si>
    <t>LV.7 이상</t>
  </si>
  <si>
    <t>세종학당재단</t>
  </si>
  <si>
    <t>850점 이상</t>
  </si>
  <si>
    <t>에너지경제연구원</t>
  </si>
  <si>
    <t>750점 이상</t>
  </si>
  <si>
    <t>여수광양항만공사</t>
  </si>
  <si>
    <t>영화진흥위원회</t>
  </si>
  <si>
    <t>우체국물류지원단</t>
  </si>
  <si>
    <t>울산항만공사</t>
  </si>
  <si>
    <t>인천국제공항공사</t>
  </si>
  <si>
    <t>신입 - 800점 이상</t>
  </si>
  <si>
    <t>체험형 인턴 - 700점 이상</t>
  </si>
  <si>
    <t>신입 - Lv.7 이상</t>
  </si>
  <si>
    <t>체험형 인턴 - Lv.7 이상</t>
  </si>
  <si>
    <t>인천항만공사</t>
  </si>
  <si>
    <t>전략물자연구원</t>
  </si>
  <si>
    <t>중소기업유통센터</t>
  </si>
  <si>
    <t>체험형 인턴 - 130점 이상</t>
  </si>
  <si>
    <t>중소벤처기업진흥공단</t>
  </si>
  <si>
    <t>140점 이상</t>
  </si>
  <si>
    <t>한국가스공사</t>
  </si>
  <si>
    <t>한국가스안전공사</t>
  </si>
  <si>
    <t>650점 이상</t>
  </si>
  <si>
    <t>한국공정거래조정원</t>
  </si>
  <si>
    <t>한국공항공사</t>
  </si>
  <si>
    <t>신입(5급갑 전형) - 750점 필수</t>
  </si>
  <si>
    <t>경력직 및 계약직 - 700점 이상</t>
  </si>
  <si>
    <t>신입(5급갑 전형) - Lv.7 이상 우대</t>
  </si>
  <si>
    <t>경력직 및 계약직 - Lv.6 이상</t>
  </si>
  <si>
    <t>파라과이 PAO 현지채용 - Lv.7</t>
  </si>
  <si>
    <t>한국과학기술평가원</t>
  </si>
  <si>
    <t>한국과학기술정보연구원</t>
  </si>
  <si>
    <t>한국관광공사</t>
  </si>
  <si>
    <t>한국국방연구원</t>
  </si>
  <si>
    <t>한국국제보건의료재단</t>
  </si>
  <si>
    <t>인턴 - 830점 이상</t>
  </si>
  <si>
    <t>인턴 - 140점 이상</t>
  </si>
  <si>
    <t>한국국제협력단</t>
  </si>
  <si>
    <t>730점 이상</t>
  </si>
  <si>
    <t>한국기계전기전자시험연구원</t>
  </si>
  <si>
    <t>한국기초과학지원연구원</t>
  </si>
  <si>
    <t>한국남동발전</t>
  </si>
  <si>
    <t>한국농촌경제연구원</t>
  </si>
  <si>
    <t>한국도로공사</t>
  </si>
  <si>
    <t>한국디자인진흥원</t>
  </si>
  <si>
    <t>한국석유공사</t>
  </si>
  <si>
    <t>한국소방산업기술원</t>
  </si>
  <si>
    <t>한국수력원자력</t>
  </si>
  <si>
    <t>신입 - 750점 이상</t>
  </si>
  <si>
    <t>신입 - 130점 이상</t>
  </si>
  <si>
    <t>한국수자원공사</t>
  </si>
  <si>
    <t>일반직(보훈공채) - 600점 이상</t>
  </si>
  <si>
    <t>일반직(일반공채) - 700점 이상</t>
  </si>
  <si>
    <t>일반직(보훈공채) - 110점 이상</t>
  </si>
  <si>
    <t>일반직(일반공채) - 130점 이상</t>
  </si>
  <si>
    <t>한국수자원조사기술원</t>
  </si>
  <si>
    <t>한국순환자원유통센터</t>
  </si>
  <si>
    <t>한국언론진흥재단</t>
  </si>
  <si>
    <t>신입 - 900점 이상</t>
  </si>
  <si>
    <t>체험형 인턴 - 850점 이상</t>
  </si>
  <si>
    <t>체험형 인턴 - 140점 이상</t>
  </si>
  <si>
    <t>한국원자력산업회의</t>
  </si>
  <si>
    <t>한국원자력안전기술원</t>
  </si>
  <si>
    <t>한국원자력통제기술원</t>
  </si>
  <si>
    <t>한국전기연구원</t>
  </si>
  <si>
    <t>900점</t>
  </si>
  <si>
    <t>한국전력공사</t>
  </si>
  <si>
    <t>보훈특별채용 - 500점 이상</t>
  </si>
  <si>
    <t>연구직 - 700점 이상</t>
  </si>
  <si>
    <t>보훈특별채용 - 90점 이상</t>
  </si>
  <si>
    <t>연구직 - 120 점 이상 가산점 부여</t>
  </si>
  <si>
    <t>한국전자통신연구원</t>
  </si>
  <si>
    <t>신입 - 성적 필수</t>
  </si>
  <si>
    <t>한국정보화진흥원</t>
  </si>
  <si>
    <t>Lv.8 이상 제출 시 가산점 부여</t>
  </si>
  <si>
    <t>한국천문연구원</t>
  </si>
  <si>
    <t>한국철도기술원</t>
  </si>
  <si>
    <t>한국투자공사</t>
  </si>
  <si>
    <t>한국항공우주산업</t>
  </si>
  <si>
    <t>815점 이상</t>
  </si>
  <si>
    <t>한국해양과학기술원</t>
  </si>
  <si>
    <t>한국해양진흥공사</t>
  </si>
  <si>
    <t>한국화학융합시험연구원</t>
  </si>
  <si>
    <t>한국환경공단</t>
  </si>
  <si>
    <t>한국환경산업기술원</t>
  </si>
  <si>
    <t>한전 KDN</t>
  </si>
  <si>
    <t>한전 KPS</t>
  </si>
  <si>
    <t>항공안전기술원</t>
  </si>
  <si>
    <t>FITI시험연구원</t>
  </si>
  <si>
    <t>[출처] 공기업별 토익/토익스피킹 점수 리스트 총정리|작성자 공사공단전문가</t>
  </si>
  <si>
    <t>시험명</t>
  </si>
  <si>
    <t>어학성적</t>
  </si>
  <si>
    <t>기준점수(비장애인)</t>
  </si>
  <si>
    <t>기준점수(청각장애인)</t>
  </si>
  <si>
    <t>성적등록일 시작기준</t>
  </si>
  <si>
    <t>성적등록일 종료기준</t>
  </si>
  <si>
    <t>5급(행정)</t>
  </si>
  <si>
    <t>TOEFL-PBT</t>
  </si>
  <si>
    <t>TOEFL-CBT</t>
  </si>
  <si>
    <t>TEPS</t>
  </si>
  <si>
    <t>G-TELP(level2)</t>
  </si>
  <si>
    <t>FLEX</t>
  </si>
  <si>
    <t>TOEFL-IBT</t>
  </si>
  <si>
    <t>5급(과학기술)</t>
  </si>
  <si>
    <t>7급</t>
  </si>
  <si>
    <t>SNULT</t>
  </si>
  <si>
    <t>외교관 후보자</t>
  </si>
  <si>
    <t>지역인재 7급</t>
  </si>
  <si>
    <t>민간경력자 5급</t>
  </si>
  <si>
    <t>신HSK</t>
  </si>
  <si>
    <t>민간경력자 7급</t>
  </si>
  <si>
    <t>(재)일제강제동원피해자지원재단</t>
  </si>
  <si>
    <t>(재)한국통계정보원</t>
  </si>
  <si>
    <t>(주)강원랜드</t>
  </si>
  <si>
    <t>한국가스기술공사</t>
  </si>
  <si>
    <t>강원대학교병원</t>
  </si>
  <si>
    <t>건축공간연구원</t>
  </si>
  <si>
    <t>경북대학교병원</t>
  </si>
  <si>
    <t>경상국립대학교병원</t>
  </si>
  <si>
    <t>공무원연금공단</t>
  </si>
  <si>
    <t>국가철도공단</t>
  </si>
  <si>
    <t>국민연금공단</t>
  </si>
  <si>
    <t>그랜드코리아레저(주)</t>
  </si>
  <si>
    <t>대한장애인체육회</t>
  </si>
  <si>
    <t>대한적십자사</t>
  </si>
  <si>
    <t>무역안보관리원</t>
  </si>
  <si>
    <t>민주화운동기념사업회</t>
  </si>
  <si>
    <t>부산대학교병원</t>
  </si>
  <si>
    <t>부산대학교치과병원</t>
  </si>
  <si>
    <t>한국중부발전(주)</t>
  </si>
  <si>
    <t>서울대학교병원</t>
  </si>
  <si>
    <t>한국남동발전㈜</t>
  </si>
  <si>
    <t>대한항공</t>
  </si>
  <si>
    <t>영상물등급위원회</t>
  </si>
  <si>
    <t>예술의전당</t>
  </si>
  <si>
    <t>재단법인 한국장기조직기증원</t>
  </si>
  <si>
    <t>전남대학교병원</t>
  </si>
  <si>
    <t>전북대학교병원</t>
  </si>
  <si>
    <t>전쟁기념사업회</t>
  </si>
  <si>
    <t>제주대학교병원</t>
  </si>
  <si>
    <t>충북대학교병원</t>
  </si>
  <si>
    <t>코레일관광개발(주)</t>
  </si>
  <si>
    <t>코레일네트웍스</t>
  </si>
  <si>
    <t>태권도진흥재단</t>
  </si>
  <si>
    <t>통일연구원</t>
  </si>
  <si>
    <t>학교법인한국폴리텍</t>
  </si>
  <si>
    <t>한국개발연구원</t>
  </si>
  <si>
    <t>한국광해광업공단</t>
  </si>
  <si>
    <t>한국교통안전공단</t>
  </si>
  <si>
    <t>한국교통연구원</t>
  </si>
  <si>
    <t>한국국제교류재단</t>
  </si>
  <si>
    <t>한국기상산업기술원</t>
  </si>
  <si>
    <t>한국남부발전㈜</t>
  </si>
  <si>
    <t>한국농어촌공사</t>
  </si>
  <si>
    <t>한국마사회</t>
  </si>
  <si>
    <t>한국무역보험공사</t>
  </si>
  <si>
    <t>한국문학번역원</t>
  </si>
  <si>
    <t>한국문화예술교육진흥원</t>
  </si>
  <si>
    <t>한국발명진흥회</t>
  </si>
  <si>
    <t>한국방송광고진흥공사</t>
  </si>
  <si>
    <t>한국보건의료연구원</t>
  </si>
  <si>
    <t>한국보육진흥원</t>
  </si>
  <si>
    <t>한국사회복지협의회</t>
  </si>
  <si>
    <t>한국상하수도협회</t>
  </si>
  <si>
    <t>한국수출입은행</t>
  </si>
  <si>
    <t>한국수목원정원관리원</t>
  </si>
  <si>
    <t>한국여성과학기술인육성재단</t>
  </si>
  <si>
    <t>한국원산지정보원</t>
  </si>
  <si>
    <t>한국원자력의학원</t>
  </si>
  <si>
    <t>한국전력거래소</t>
  </si>
  <si>
    <t>한국전력기술㈜</t>
  </si>
  <si>
    <t>한국제품안전관리원</t>
  </si>
  <si>
    <t>한국탄소산업진흥원</t>
  </si>
  <si>
    <t>한국토지주택공사</t>
  </si>
  <si>
    <t>한국특허기술진흥원</t>
  </si>
  <si>
    <t>한전KDN</t>
  </si>
  <si>
    <t>한전원자력연료주식회사</t>
  </si>
  <si>
    <t>정보통신기획평가원</t>
  </si>
  <si>
    <t>선박해양플랜트연구소</t>
  </si>
  <si>
    <t>국가과학기술인력개발원</t>
  </si>
  <si>
    <t>한국전기안전공사</t>
  </si>
  <si>
    <t>토익</t>
    <phoneticPr fontId="1" type="noConversion"/>
  </si>
  <si>
    <t>인사혁신처 5급 공채</t>
  </si>
  <si>
    <t>700점</t>
  </si>
  <si>
    <t>영어과목 대체 기준 </t>
  </si>
  <si>
    <t>인사혁신처 7급 공채(외무영사직 제외)</t>
  </si>
  <si>
    <t>인사혁신처 7급 공채(외무영사직)</t>
  </si>
  <si>
    <t>790점</t>
  </si>
  <si>
    <t>외교관후보자 선발시험</t>
  </si>
  <si>
    <t>870점</t>
  </si>
  <si>
    <t>국회사무처 입법고시</t>
  </si>
  <si>
    <t>대법원 법원행정고등고시</t>
  </si>
  <si>
    <t>소방청 소방간부후보생</t>
  </si>
  <si>
    <t>625점</t>
  </si>
  <si>
    <t>경찰간부후보생</t>
  </si>
  <si>
    <t>대통령경호처 특정직 7급</t>
  </si>
  <si>
    <t>농촌진흥청 연구직·지도직</t>
  </si>
  <si>
    <t>해양경찰청 간부후보생</t>
  </si>
  <si>
    <t>건강보험심사평가원</t>
  </si>
  <si>
    <t>참고용 활용</t>
  </si>
  <si>
    <t>점수 기준이 아니라 참고 성격 </t>
  </si>
  <si>
    <t>TOEIC, TOEIC Speaking 기준 병기 </t>
  </si>
  <si>
    <t>800점</t>
  </si>
  <si>
    <t>600점</t>
  </si>
  <si>
    <t>공기업 채용 예시로 널리 인용됨 </t>
  </si>
  <si>
    <t>공기업 채용 예시 </t>
  </si>
  <si>
    <t>국립국제교육원 WEST 장기</t>
  </si>
  <si>
    <t>연수 프로그램 지원 기준 </t>
  </si>
  <si>
    <t>국립국제교육원 WEST 중기</t>
  </si>
  <si>
    <t>국립국제교육원 WEST 단기</t>
  </si>
  <si>
    <t>850점</t>
  </si>
  <si>
    <t>비고</t>
  </si>
  <si>
    <t>신입 채용 기준 </t>
  </si>
  <si>
    <t>기본 기준 </t>
  </si>
  <si>
    <t>Lv.5 이상 (스피킹 포함) </t>
  </si>
  <si>
    <t>700점 (지원 자격), 850점 (만점 기준)</t>
  </si>
  <si>
    <t>사무직 기준 </t>
  </si>
  <si>
    <t>한국철도공사</t>
  </si>
  <si>
    <t>만점 기준 </t>
  </si>
  <si>
    <t>지원 자격 </t>
  </si>
  <si>
    <t>서울주택도시공사</t>
  </si>
  <si>
    <t>사무직 800점, 기술직 700점</t>
  </si>
  <si>
    <t>한국남부발전</t>
  </si>
  <si>
    <t>기준 </t>
  </si>
  <si>
    <t>한국서부발전</t>
  </si>
  <si>
    <t>700점 이상 (만점 900점)</t>
  </si>
  <si>
    <t>한국전력공사 (사무직)</t>
  </si>
  <si>
    <t>한국수자원공사 (K-water)</t>
  </si>
  <si>
    <t>775점 이상</t>
  </si>
  <si>
    <t>가산점 기준 </t>
  </si>
  <si>
    <t>서류 필수 </t>
  </si>
  <si>
    <t>한국농수산식품유통공사</t>
  </si>
  <si>
    <t>행정직 </t>
  </si>
  <si>
    <t>한국산업단지공단</t>
  </si>
  <si>
    <t>한국산업은행</t>
  </si>
  <si>
    <t>사무직 (기준 충족 확인) </t>
  </si>
  <si>
    <t>다수 직무 </t>
  </si>
  <si>
    <t>신입 기준 </t>
  </si>
  <si>
    <t>사무/기술직 </t>
  </si>
  <si>
    <t>연구/기술직 </t>
  </si>
  <si>
    <t>공공기관 토익 컷을 더 확장해서 최대한 모았습니다. 추가 조사로 900점대 최고 수준부터 600점대까지 총 50곳 이상의 기준을 정리했어요. 기관별 최고 컷(만점 기준) 중심으로 나열합니다.</t>
  </si>
  <si>
    <t>최고 토익 컷 확장 표 (900점대~700점대)</t>
  </si>
  <si>
    <t>최고 토익 컷/만점 기준</t>
  </si>
  <si>
    <t>한국거래소</t>
  </si>
  <si>
    <t>하한선 요구 </t>
  </si>
  <si>
    <t>우대/지원 자격 </t>
  </si>
  <si>
    <t>대한무역투자진흥공사 (KOTRA)</t>
  </si>
  <si>
    <t>한국철도공사 (코레일)</t>
  </si>
  <si>
    <t>서울주택도시공사 (사무직)</t>
  </si>
  <si>
    <t>한국농수산식품유통공사 (aT)</t>
  </si>
  <si>
    <t>사무직 </t>
  </si>
  <si>
    <t>신입 </t>
  </si>
  <si>
    <t>120점 (스피킹) </t>
  </si>
  <si>
    <t>추가 확장 컷 (700점 미만 또는 특이 기준)</t>
  </si>
  <si>
    <t>군인공제회: 성적 필수 (특정 컷 미명시).</t>
  </si>
  <si>
    <t>한국수자원조사기술원: 성적 필수.</t>
  </si>
  <si>
    <t>한국순환자원유통센터: 성적 필수.</t>
  </si>
  <si>
    <t>외교관후보자 선발시험: 870점 이상 필수.</t>
  </si>
  <si>
    <t>국가정보원 특정직 7급: TOEIC Speaking 160점 이상 (리스닝/리딩 별도).</t>
  </si>
  <si>
    <t>게임물관리위원회: 900점 이상 (스피킹 포함).</t>
  </si>
  <si>
    <t>경기관광공사: 800점 이상.</t>
  </si>
  <si>
    <t>경기평택항만공사: 600점 이상.</t>
  </si>
  <si>
    <t>전체 통계 및 해석</t>
  </si>
  <si>
    <t>900점대: 4곳 (최고 수준, 만점 기준).</t>
  </si>
  <si>
    <t>850점대: 6곳 (상위 공기업 우대).</t>
  </si>
  <si>
    <t>800점대: 10곳 (서류 경쟁력 핵심).</t>
  </si>
  <si>
    <t>700점대: 60% 이상 기관 (기본 컷).</t>
  </si>
  <si>
    <t>TOEIC 활용 공공기관 총 67곳 중 기준점수 요구가 60%입니다.</t>
  </si>
  <si>
    <t>실무 팁</t>
  </si>
  <si>
    <t>최고 컷 초과: 만점 처리되므로 넘기기만 하면 됩니다.</t>
  </si>
  <si>
    <t>스피킹 병행: 120~160점 요구 32곳 (78% 기준 설정).</t>
  </si>
  <si>
    <t>2026 기준: 큰 변화 없음, 인정기간 5년 유지.</t>
  </si>
  <si>
    <t>더 자세한 공고는 공공기관 채용 사이트나 개별 홈페이지 확인하세요.</t>
  </si>
  <si>
    <t>이게 지금까지 찾은 최대 범위입니다. 특정 기관 더 원하시면 말씀해주세요!</t>
  </si>
  <si>
    <t>기관/시험명</t>
  </si>
  <si>
    <t>TOEIC 기준</t>
  </si>
  <si>
    <t>신입 700 이상</t>
  </si>
  <si>
    <t>인턴 성적 필수</t>
  </si>
  <si>
    <t>720 이상</t>
  </si>
  <si>
    <t>760 이상</t>
  </si>
  <si>
    <t>700 이상</t>
  </si>
  <si>
    <t>신입 850 이상</t>
  </si>
  <si>
    <t>인턴 우대</t>
  </si>
  <si>
    <t>800 이상</t>
  </si>
  <si>
    <t>850 이상</t>
  </si>
  <si>
    <t>750 이상</t>
  </si>
  <si>
    <t>신입 800 이상</t>
  </si>
  <si>
    <t>인턴 700 이상</t>
  </si>
  <si>
    <t>650 이상</t>
  </si>
  <si>
    <t>신입 750</t>
  </si>
  <si>
    <t>경력 700 이상</t>
  </si>
  <si>
    <t>인턴 830 이상</t>
  </si>
  <si>
    <t>730 이상</t>
  </si>
  <si>
    <t>600 이상</t>
  </si>
  <si>
    <t>신입 900 이상</t>
  </si>
  <si>
    <t>인턴 850 이상</t>
  </si>
  <si>
    <t>보훈 500 이상</t>
  </si>
  <si>
    <t>900 이상</t>
  </si>
  <si>
    <t>815 이상</t>
  </si>
  <si>
    <t>사무직 800 / 기술직 700</t>
  </si>
  <si>
    <t>한국통계정보원</t>
    <phoneticPr fontId="1" type="noConversion"/>
  </si>
  <si>
    <t>강원대학병원</t>
    <phoneticPr fontId="1" type="noConversion"/>
  </si>
  <si>
    <t>국가철도공단</t>
    <phoneticPr fontId="1" type="noConversion"/>
  </si>
  <si>
    <t>국민연금공단</t>
    <phoneticPr fontId="1" type="noConversion"/>
  </si>
  <si>
    <t>대한적십자사</t>
    <phoneticPr fontId="1" type="noConversion"/>
  </si>
  <si>
    <t>한국가스기술공사</t>
    <phoneticPr fontId="1" type="noConversion"/>
  </si>
  <si>
    <t>반영</t>
    <phoneticPr fontId="1" type="noConversion"/>
  </si>
  <si>
    <t>국민체육진흥공단</t>
    <phoneticPr fontId="1" type="noConversion"/>
  </si>
  <si>
    <t>신용보증기금</t>
    <phoneticPr fontId="1" type="noConversion"/>
  </si>
  <si>
    <t>한국교육개발원</t>
    <phoneticPr fontId="1" type="noConversion"/>
  </si>
  <si>
    <t>미반영</t>
    <phoneticPr fontId="1" type="noConversion"/>
  </si>
  <si>
    <t>예금보험공사</t>
    <phoneticPr fontId="1" type="noConversion"/>
  </si>
  <si>
    <t>한국전력거래소</t>
    <phoneticPr fontId="1" type="noConversion"/>
  </si>
  <si>
    <t>선박해양플랜트연구소</t>
    <phoneticPr fontId="1" type="noConversion"/>
  </si>
  <si>
    <t>중소기업기술정보진흥원</t>
    <phoneticPr fontId="1" type="noConversion"/>
  </si>
  <si>
    <t>한국무역보험공사</t>
    <phoneticPr fontId="1" type="noConversion"/>
  </si>
  <si>
    <r>
      <rPr>
        <sz val="11"/>
        <color theme="1"/>
        <rFont val="맑은 고딕"/>
        <family val="2"/>
        <charset val="129"/>
      </rPr>
      <t>공인영어성적</t>
    </r>
    <r>
      <rPr>
        <sz val="11"/>
        <color theme="1"/>
        <rFont val="Calibri"/>
        <family val="2"/>
        <charset val="129"/>
      </rPr>
      <t>(TOEIC, TOEFL(IBT), TEPS)</t>
    </r>
    <r>
      <rPr>
        <sz val="11"/>
        <color theme="1"/>
        <rFont val="맑은 고딕"/>
        <family val="2"/>
        <charset val="129"/>
      </rPr>
      <t>으로</t>
    </r>
    <r>
      <rPr>
        <sz val="11"/>
        <color theme="1"/>
        <rFont val="Calibri"/>
        <family val="2"/>
        <charset val="129"/>
      </rPr>
      <t xml:space="preserve"> </t>
    </r>
    <r>
      <rPr>
        <sz val="11"/>
        <color theme="1"/>
        <rFont val="맑은 고딕"/>
        <family val="2"/>
        <charset val="129"/>
      </rPr>
      <t>대체</t>
    </r>
    <phoneticPr fontId="1" type="noConversion"/>
  </si>
  <si>
    <t>동서발전㈜</t>
    <phoneticPr fontId="1" type="noConversion"/>
  </si>
  <si>
    <t>국립공원공단</t>
    <phoneticPr fontId="4" type="noConversion"/>
  </si>
  <si>
    <t>국립생태원</t>
  </si>
  <si>
    <t>국립해양박물관</t>
  </si>
  <si>
    <t>농업정책보험금융원</t>
  </si>
  <si>
    <t>서민금융진흥원</t>
  </si>
  <si>
    <t>연구개발특구진흥재단</t>
  </si>
  <si>
    <t>정보통신산업진흥원</t>
  </si>
  <si>
    <t>주식회사 에스알</t>
  </si>
  <si>
    <t>창업진흥원</t>
  </si>
  <si>
    <t>한국건강가정진흥원</t>
  </si>
  <si>
    <t>한국교육학술정보원</t>
  </si>
  <si>
    <t>한국국토정보공사</t>
  </si>
  <si>
    <t>한국등산·트레킹지원센터</t>
  </si>
  <si>
    <t>한국법제연구원</t>
  </si>
  <si>
    <t>한국부동산원</t>
  </si>
  <si>
    <t>한국사학진흥재단</t>
  </si>
  <si>
    <t>한국사회보장정보원</t>
  </si>
  <si>
    <t>한국산림복지진흥원</t>
  </si>
  <si>
    <t>한국산업인력공단</t>
  </si>
  <si>
    <t>한국세라믹기술원</t>
  </si>
  <si>
    <t>한국승강기안전공단</t>
  </si>
  <si>
    <t>한국인터넷진흥원</t>
  </si>
  <si>
    <t>한국임업진흥원</t>
  </si>
  <si>
    <t>한국자산관리공사</t>
  </si>
  <si>
    <t>한국조세재정연구원</t>
  </si>
  <si>
    <t>한국주택금융공사</t>
  </si>
  <si>
    <t>한국지역난방공사</t>
  </si>
  <si>
    <t>해양환경공단</t>
  </si>
  <si>
    <t>국가수리과학연구소</t>
  </si>
  <si>
    <t>새마금개발공사</t>
  </si>
  <si>
    <t>코레일테크㈜</t>
  </si>
  <si>
    <t>우체국금융개발원</t>
  </si>
  <si>
    <t>농업기술실용화재단</t>
  </si>
  <si>
    <t>한국광해관리공단</t>
  </si>
  <si>
    <t>강원랜드</t>
    <phoneticPr fontId="4" type="noConversion"/>
  </si>
  <si>
    <t>국제방송교류재단(아리랑국제방송)</t>
  </si>
  <si>
    <t>한국체육산업개발㈜</t>
  </si>
  <si>
    <t xml:space="preserve">한국소방산업기술원 </t>
  </si>
  <si>
    <t>한국우편사업진흥원</t>
  </si>
  <si>
    <t>한국동서발전㈜</t>
  </si>
  <si>
    <t>한국중부발전㈜</t>
  </si>
  <si>
    <t>녹색기술센터</t>
  </si>
  <si>
    <t>한국생산기술연구원</t>
  </si>
  <si>
    <t>한국식품연구원</t>
  </si>
  <si>
    <t>(재)축산환경관리원</t>
  </si>
  <si>
    <t>(재)한국우편사업진흥원</t>
  </si>
  <si>
    <t>경기주택도시공사</t>
  </si>
  <si>
    <t>한국보건복지인재원</t>
  </si>
  <si>
    <t>(주)공영홈쇼핑</t>
    <phoneticPr fontId="4" type="noConversion"/>
  </si>
  <si>
    <t>88관광개발㈜</t>
    <phoneticPr fontId="4" type="noConversion"/>
  </si>
  <si>
    <t>건설근로자공제회</t>
  </si>
  <si>
    <t>경북대학교치과병원</t>
  </si>
  <si>
    <t>공간정보품질관리원</t>
  </si>
  <si>
    <t>과학기술정책연구원</t>
  </si>
  <si>
    <t>국가생명윤리정책원</t>
  </si>
  <si>
    <t>국가평생교육진흥원</t>
    <phoneticPr fontId="4" type="noConversion"/>
  </si>
  <si>
    <t>국립낙동강생물자원관</t>
  </si>
  <si>
    <t>국립대구과학관</t>
  </si>
  <si>
    <t>국립아시아문화전당재단</t>
  </si>
  <si>
    <t>국립울진해양과학관</t>
    <phoneticPr fontId="4" type="noConversion"/>
  </si>
  <si>
    <t>국립호남권생물자원관</t>
  </si>
  <si>
    <t>국방전직교육원</t>
  </si>
  <si>
    <t>국악방송</t>
  </si>
  <si>
    <t>농림식품기술기획평가원</t>
  </si>
  <si>
    <t>대한석탄공사</t>
  </si>
  <si>
    <t>북한이탈주민지원재단</t>
  </si>
  <si>
    <t>새만금개발공사</t>
  </si>
  <si>
    <t>서울대학교치과병원</t>
  </si>
  <si>
    <t>스포츠윤리센터</t>
  </si>
  <si>
    <t>시청자미디어재단</t>
  </si>
  <si>
    <t>신용보증재단중앙회</t>
  </si>
  <si>
    <t>아시아·태평양경제협력체 기후센터</t>
  </si>
  <si>
    <t>의료기관평가인증원</t>
  </si>
  <si>
    <t>자동차손해배상진흥원</t>
  </si>
  <si>
    <t>재단법인 건설기술교육원</t>
  </si>
  <si>
    <t>재단법인 대한건설기계안전관리원</t>
    <phoneticPr fontId="4" type="noConversion"/>
  </si>
  <si>
    <t>재단법인 장애인기업종합지원센터</t>
    <phoneticPr fontId="4" type="noConversion"/>
  </si>
  <si>
    <t>한국공공조직은행</t>
  </si>
  <si>
    <t>노사발전재단</t>
  </si>
  <si>
    <t>재단법인 한국공공조직은행</t>
    <phoneticPr fontId="4" type="noConversion"/>
  </si>
  <si>
    <t>재단법인 한국에너지재단</t>
  </si>
  <si>
    <t>재단법인 한국자활복지개발원</t>
  </si>
  <si>
    <t>재외동포협력센터</t>
  </si>
  <si>
    <t>정부법무공단</t>
  </si>
  <si>
    <t>주택관리공단㈜</t>
  </si>
  <si>
    <t>IBK기업은행</t>
    <phoneticPr fontId="4" type="noConversion"/>
  </si>
  <si>
    <t>중소벤처기업연구원</t>
  </si>
  <si>
    <t>코레일로지스(주)</t>
  </si>
  <si>
    <t>코레일유통㈜</t>
  </si>
  <si>
    <t>코레일테크(주)</t>
  </si>
  <si>
    <t>한국건강증진개발원</t>
  </si>
  <si>
    <t>한국고용노동교육원</t>
  </si>
  <si>
    <t>한국고용정보원</t>
  </si>
  <si>
    <t>한국고전번역원</t>
  </si>
  <si>
    <t>한국과학기술기획평가원</t>
  </si>
  <si>
    <t>한국기술교육대학교</t>
  </si>
  <si>
    <t>한국나노기술원</t>
  </si>
  <si>
    <t>한국노동연구원</t>
  </si>
  <si>
    <t>한국노인인력개발원</t>
  </si>
  <si>
    <t>한국농업기술진흥원</t>
    <phoneticPr fontId="4" type="noConversion"/>
  </si>
  <si>
    <t>한국데이터산업진흥원</t>
  </si>
  <si>
    <t>한국도로공사서비스(주)</t>
    <phoneticPr fontId="4" type="noConversion"/>
  </si>
  <si>
    <t>한국로봇산업진흥원</t>
  </si>
  <si>
    <t>한국마약퇴치운동본부</t>
  </si>
  <si>
    <t>한국문화예술위원회</t>
  </si>
  <si>
    <t>한국문화정보원</t>
  </si>
  <si>
    <t>한국문화진흥주식회사</t>
    <phoneticPr fontId="4" type="noConversion"/>
  </si>
  <si>
    <t>한국방송통신전파진흥원</t>
  </si>
  <si>
    <t>한국법무보호복지공단</t>
  </si>
  <si>
    <t>한국보건의료인국가시험원</t>
    <phoneticPr fontId="4" type="noConversion"/>
  </si>
  <si>
    <t>한국보훈복지의료공단</t>
  </si>
  <si>
    <t>한국사회적기업진흥원</t>
    <phoneticPr fontId="4" type="noConversion"/>
  </si>
  <si>
    <t>한국생명존중희망재단</t>
    <phoneticPr fontId="4" type="noConversion"/>
  </si>
  <si>
    <t>한국소비자보호원</t>
    <phoneticPr fontId="4" type="noConversion"/>
  </si>
  <si>
    <t>한국식품산업클러스터진흥원</t>
    <phoneticPr fontId="4" type="noConversion"/>
  </si>
  <si>
    <t>한국양성평등교육진흥원</t>
    <phoneticPr fontId="4" type="noConversion"/>
  </si>
  <si>
    <t>한국어촌어항공단</t>
    <phoneticPr fontId="4" type="noConversion"/>
  </si>
  <si>
    <t>한국여성인권진흥원</t>
    <phoneticPr fontId="4" type="noConversion"/>
  </si>
  <si>
    <t>한국영상자료원</t>
    <phoneticPr fontId="4" type="noConversion"/>
  </si>
  <si>
    <t>한국예술인복지재단</t>
    <phoneticPr fontId="4" type="noConversion"/>
  </si>
  <si>
    <t>한국원자력안전재단</t>
    <phoneticPr fontId="4" type="noConversion"/>
  </si>
  <si>
    <t>한국의료기기안전정보원</t>
    <phoneticPr fontId="4" type="noConversion"/>
  </si>
  <si>
    <t>한국의약품안전관리원</t>
    <phoneticPr fontId="4" type="noConversion"/>
  </si>
  <si>
    <t>한국잡월드</t>
    <phoneticPr fontId="4" type="noConversion"/>
  </si>
  <si>
    <t>한국장애인고용공단</t>
    <phoneticPr fontId="4" type="noConversion"/>
  </si>
  <si>
    <t>한국저작권보호원</t>
  </si>
  <si>
    <t>한국저작권위원회</t>
    <phoneticPr fontId="4" type="noConversion"/>
  </si>
  <si>
    <t>한국중소벤처기업유통원</t>
    <phoneticPr fontId="4" type="noConversion"/>
  </si>
  <si>
    <t>한국지식재산보호원</t>
    <phoneticPr fontId="4" type="noConversion"/>
  </si>
  <si>
    <t>한국직업능력연구원</t>
    <phoneticPr fontId="4" type="noConversion"/>
  </si>
  <si>
    <t>한국청소년상담복지개발원</t>
    <phoneticPr fontId="4" type="noConversion"/>
  </si>
  <si>
    <t>한국청소년정책연구원</t>
    <phoneticPr fontId="4" type="noConversion"/>
  </si>
  <si>
    <t>한국체육산업개발(주)</t>
    <phoneticPr fontId="4" type="noConversion"/>
  </si>
  <si>
    <t>한국출판문화산업진흥원</t>
  </si>
  <si>
    <t>한국치산기술협회</t>
    <phoneticPr fontId="4" type="noConversion"/>
  </si>
  <si>
    <t>한국특허전략개발원</t>
    <phoneticPr fontId="4" type="noConversion"/>
  </si>
  <si>
    <t>한국특허정보원</t>
    <phoneticPr fontId="4" type="noConversion"/>
  </si>
  <si>
    <t>한국학중앙연구원</t>
    <phoneticPr fontId="4" type="noConversion"/>
  </si>
  <si>
    <t>한국한의약진흥원</t>
    <phoneticPr fontId="4" type="noConversion"/>
  </si>
  <si>
    <t>한국항로표지기술원</t>
    <phoneticPr fontId="4" type="noConversion"/>
  </si>
  <si>
    <t>한국해양수산개발원</t>
  </si>
  <si>
    <t>한국해양조사협회</t>
  </si>
  <si>
    <t>한국형사·법무정책연구원</t>
    <phoneticPr fontId="4" type="noConversion"/>
  </si>
  <si>
    <t>한국환경연구원</t>
    <phoneticPr fontId="4" type="noConversion"/>
  </si>
  <si>
    <t>한전MCS㈜</t>
    <phoneticPr fontId="4" type="noConversion"/>
  </si>
  <si>
    <t>해양수산과학기술진흥원</t>
    <phoneticPr fontId="4" type="noConversion"/>
  </si>
  <si>
    <t>소프트웨어정책연구소</t>
    <phoneticPr fontId="4" type="noConversion"/>
  </si>
  <si>
    <t>동남권원자력의학원</t>
  </si>
  <si>
    <t>서울요양원</t>
    <phoneticPr fontId="4" type="noConversion"/>
  </si>
  <si>
    <t>육아정책연구소</t>
  </si>
  <si>
    <t>병무청</t>
  </si>
  <si>
    <t>한국연구재단</t>
  </si>
  <si>
    <t>한국예탁결제원</t>
  </si>
  <si>
    <t>국토안전관리원</t>
    <phoneticPr fontId="4" type="noConversion"/>
  </si>
  <si>
    <t>대한법률구조공단</t>
  </si>
  <si>
    <t>근로복지공단</t>
    <phoneticPr fontId="1" type="noConversion"/>
  </si>
  <si>
    <t>도로교통공단</t>
    <phoneticPr fontId="1" type="noConversion"/>
  </si>
  <si>
    <t>이상 환산점수 반영</t>
    <phoneticPr fontId="1" type="noConversion"/>
  </si>
  <si>
    <t>코레일관광개발</t>
    <phoneticPr fontId="1" type="noConversion"/>
  </si>
  <si>
    <t>한국마사회</t>
    <phoneticPr fontId="1" type="noConversion"/>
  </si>
  <si>
    <t>토익스피킹IH이상</t>
    <phoneticPr fontId="1" type="noConversion"/>
  </si>
  <si>
    <t>국방기술진흥연구소</t>
    <phoneticPr fontId="1" type="noConversion"/>
  </si>
  <si>
    <t>이상 개별점수부여</t>
    <phoneticPr fontId="1" type="noConversion"/>
  </si>
  <si>
    <t>소상공인시장진흥공단</t>
    <phoneticPr fontId="1" type="noConversion"/>
  </si>
  <si>
    <t>한국조폐공사</t>
    <phoneticPr fontId="1" type="noConversion"/>
  </si>
  <si>
    <r>
      <t>975</t>
    </r>
    <r>
      <rPr>
        <sz val="11"/>
        <color theme="1"/>
        <rFont val="맑은 고딕"/>
        <family val="2"/>
        <charset val="129"/>
      </rPr>
      <t>점까지 환산점수적용</t>
    </r>
    <phoneticPr fontId="1" type="noConversion"/>
  </si>
  <si>
    <t>환산점수반영</t>
    <phoneticPr fontId="1" type="noConversion"/>
  </si>
  <si>
    <r>
      <rPr>
        <sz val="11"/>
        <color theme="1"/>
        <rFont val="맑은 고딕"/>
        <family val="2"/>
        <charset val="129"/>
      </rPr>
      <t>독해성적×</t>
    </r>
    <r>
      <rPr>
        <sz val="11"/>
        <color theme="1"/>
        <rFont val="Calibri"/>
        <family val="2"/>
        <charset val="129"/>
      </rPr>
      <t>200%</t>
    </r>
    <phoneticPr fontId="1" type="noConversion"/>
  </si>
  <si>
    <t>극지연구소(기술직)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</si>
</sst>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29"/>
    </font>
    <font>
      <sz val="8"/>
      <name val="Calibri"/>
      <family val="2"/>
      <charset val="129"/>
    </font>
    <font>
      <sz val="11"/>
      <color theme="1"/>
      <name val="맑은 고딕"/>
      <family val="2"/>
      <charset val="129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6" fillId="0" borderId="2" xfId="1" applyFont="1" applyBorder="1" applyAlignment="1">
      <alignment horizontal="left" vertical="top"/>
    </xf>
    <xf numFmtId="0" fontId="7" fillId="0" borderId="0" xfId="0" applyFont="1" applyAlignment="1">
      <alignment horizontal="right" vertical="center"/>
    </xf>
  </cellXfs>
  <cellStyles count="2">
    <cellStyle name="표준" xfId="0" builtinId="0"/>
    <cellStyle name="표준 2" xfId="1" xr:uid="{C91044C9-1093-47CF-8EFD-6F03216A6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C6CC0-E3DA-4459-90DB-9AAE7CA63729}">
  <dimension ref="B1:W119"/>
  <sheetViews>
    <sheetView workbookViewId="0">
      <selection activeCell="A18" sqref="A18"/>
    </sheetView>
  </sheetViews>
  <sheetFormatPr defaultRowHeight="15" x14ac:dyDescent="0.25"/>
  <cols>
    <col min="2" max="2" width="30.7109375" customWidth="1"/>
    <col min="3" max="4" width="12.7109375" customWidth="1"/>
    <col min="9" max="9" width="15.42578125" customWidth="1"/>
    <col min="10" max="10" width="18.85546875" customWidth="1"/>
    <col min="17" max="17" width="5.42578125" customWidth="1"/>
    <col min="18" max="18" width="45.85546875" customWidth="1"/>
    <col min="21" max="21" width="31.140625" customWidth="1"/>
  </cols>
  <sheetData>
    <row r="1" spans="2:23" ht="16.5" x14ac:dyDescent="0.25">
      <c r="B1" t="s">
        <v>0</v>
      </c>
      <c r="C1" t="s">
        <v>1</v>
      </c>
      <c r="D1" t="s">
        <v>2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Q1">
        <f>COUNTIF(B:B,R1)</f>
        <v>0</v>
      </c>
      <c r="R1" t="s">
        <v>155</v>
      </c>
      <c r="S1" s="1" t="s">
        <v>225</v>
      </c>
      <c r="U1" t="s">
        <v>226</v>
      </c>
      <c r="V1" t="s">
        <v>227</v>
      </c>
      <c r="W1" t="s">
        <v>228</v>
      </c>
    </row>
    <row r="2" spans="2:23" x14ac:dyDescent="0.25">
      <c r="B2" t="s">
        <v>3</v>
      </c>
      <c r="C2" t="s">
        <v>4</v>
      </c>
      <c r="D2" t="s">
        <v>5</v>
      </c>
      <c r="I2" t="s">
        <v>140</v>
      </c>
      <c r="J2" t="s">
        <v>141</v>
      </c>
      <c r="K2">
        <v>530</v>
      </c>
      <c r="L2">
        <v>352</v>
      </c>
      <c r="M2">
        <v>43831</v>
      </c>
      <c r="N2">
        <v>45723</v>
      </c>
      <c r="Q2">
        <f t="shared" ref="Q2:Q65" si="0">COUNTIF(B:B,R2)</f>
        <v>0</v>
      </c>
      <c r="R2" t="s">
        <v>156</v>
      </c>
      <c r="U2" t="s">
        <v>229</v>
      </c>
      <c r="V2" t="s">
        <v>227</v>
      </c>
      <c r="W2" t="s">
        <v>228</v>
      </c>
    </row>
    <row r="3" spans="2:23" x14ac:dyDescent="0.25">
      <c r="B3" t="s">
        <v>6</v>
      </c>
      <c r="C3" t="s">
        <v>7</v>
      </c>
      <c r="D3" t="s">
        <v>8</v>
      </c>
      <c r="I3" t="s">
        <v>140</v>
      </c>
      <c r="J3" t="s">
        <v>142</v>
      </c>
      <c r="K3">
        <v>197</v>
      </c>
      <c r="L3">
        <v>131</v>
      </c>
      <c r="M3">
        <v>43831</v>
      </c>
      <c r="N3">
        <v>45723</v>
      </c>
      <c r="Q3">
        <f t="shared" si="0"/>
        <v>0</v>
      </c>
      <c r="R3" t="s">
        <v>157</v>
      </c>
      <c r="U3" t="s">
        <v>230</v>
      </c>
      <c r="V3" t="s">
        <v>231</v>
      </c>
      <c r="W3" t="s">
        <v>228</v>
      </c>
    </row>
    <row r="4" spans="2:23" x14ac:dyDescent="0.25">
      <c r="B4" t="s">
        <v>9</v>
      </c>
      <c r="C4" t="s">
        <v>10</v>
      </c>
      <c r="D4" t="s">
        <v>11</v>
      </c>
      <c r="I4" t="s">
        <v>140</v>
      </c>
      <c r="J4" t="s">
        <v>1</v>
      </c>
      <c r="K4">
        <v>700</v>
      </c>
      <c r="L4">
        <v>350</v>
      </c>
      <c r="M4">
        <v>43831</v>
      </c>
      <c r="N4">
        <v>45723</v>
      </c>
      <c r="Q4">
        <f t="shared" si="0"/>
        <v>0</v>
      </c>
      <c r="R4" t="s">
        <v>158</v>
      </c>
      <c r="U4" t="s">
        <v>232</v>
      </c>
      <c r="V4" t="s">
        <v>233</v>
      </c>
      <c r="W4" t="s">
        <v>228</v>
      </c>
    </row>
    <row r="5" spans="2:23" x14ac:dyDescent="0.25">
      <c r="B5" t="s">
        <v>12</v>
      </c>
      <c r="C5" t="s">
        <v>13</v>
      </c>
      <c r="D5" t="s">
        <v>14</v>
      </c>
      <c r="I5" t="s">
        <v>140</v>
      </c>
      <c r="J5" t="s">
        <v>143</v>
      </c>
      <c r="K5">
        <v>625</v>
      </c>
      <c r="L5">
        <v>375</v>
      </c>
      <c r="M5">
        <v>43831</v>
      </c>
      <c r="N5">
        <v>45723</v>
      </c>
      <c r="Q5">
        <f t="shared" si="0"/>
        <v>0</v>
      </c>
      <c r="R5" t="s">
        <v>159</v>
      </c>
      <c r="U5" t="s">
        <v>234</v>
      </c>
      <c r="V5" t="s">
        <v>227</v>
      </c>
      <c r="W5" t="s">
        <v>228</v>
      </c>
    </row>
    <row r="6" spans="2:23" x14ac:dyDescent="0.25">
      <c r="B6" t="s">
        <v>15</v>
      </c>
      <c r="C6" t="s">
        <v>16</v>
      </c>
      <c r="D6" t="s">
        <v>17</v>
      </c>
      <c r="I6" t="s">
        <v>140</v>
      </c>
      <c r="J6" t="s">
        <v>144</v>
      </c>
      <c r="K6">
        <v>65</v>
      </c>
      <c r="M6">
        <v>43831</v>
      </c>
      <c r="N6">
        <v>45723</v>
      </c>
      <c r="Q6">
        <f t="shared" si="0"/>
        <v>0</v>
      </c>
      <c r="R6" t="s">
        <v>160</v>
      </c>
      <c r="U6" t="s">
        <v>235</v>
      </c>
      <c r="V6" t="s">
        <v>227</v>
      </c>
      <c r="W6" t="s">
        <v>228</v>
      </c>
    </row>
    <row r="7" spans="2:23" x14ac:dyDescent="0.25">
      <c r="B7" t="s">
        <v>18</v>
      </c>
      <c r="C7" t="s">
        <v>19</v>
      </c>
      <c r="D7" t="s">
        <v>20</v>
      </c>
      <c r="I7" t="s">
        <v>140</v>
      </c>
      <c r="J7" t="s">
        <v>145</v>
      </c>
      <c r="K7">
        <v>625</v>
      </c>
      <c r="L7">
        <v>375</v>
      </c>
      <c r="M7">
        <v>43831</v>
      </c>
      <c r="N7">
        <v>45723</v>
      </c>
      <c r="Q7">
        <f t="shared" si="0"/>
        <v>0</v>
      </c>
      <c r="R7" t="s">
        <v>161</v>
      </c>
      <c r="U7" t="s">
        <v>236</v>
      </c>
      <c r="V7" t="s">
        <v>237</v>
      </c>
      <c r="W7" t="s">
        <v>228</v>
      </c>
    </row>
    <row r="8" spans="2:23" x14ac:dyDescent="0.25">
      <c r="B8" t="s">
        <v>21</v>
      </c>
      <c r="C8" t="s">
        <v>22</v>
      </c>
      <c r="D8" t="s">
        <v>24</v>
      </c>
      <c r="I8" t="s">
        <v>140</v>
      </c>
      <c r="J8" t="s">
        <v>146</v>
      </c>
      <c r="K8">
        <v>71</v>
      </c>
      <c r="M8">
        <v>43831</v>
      </c>
      <c r="N8">
        <v>45723</v>
      </c>
      <c r="Q8">
        <f t="shared" si="0"/>
        <v>0</v>
      </c>
      <c r="R8" t="s">
        <v>162</v>
      </c>
      <c r="U8" t="s">
        <v>238</v>
      </c>
      <c r="V8" t="s">
        <v>237</v>
      </c>
      <c r="W8" t="s">
        <v>228</v>
      </c>
    </row>
    <row r="9" spans="2:23" x14ac:dyDescent="0.25">
      <c r="C9" t="s">
        <v>23</v>
      </c>
      <c r="D9" t="s">
        <v>23</v>
      </c>
      <c r="I9" t="s">
        <v>140</v>
      </c>
      <c r="J9" t="s">
        <v>143</v>
      </c>
      <c r="K9">
        <v>340</v>
      </c>
      <c r="L9">
        <v>204</v>
      </c>
      <c r="M9">
        <v>43831</v>
      </c>
      <c r="N9">
        <v>45723</v>
      </c>
      <c r="Q9">
        <f t="shared" si="0"/>
        <v>0</v>
      </c>
      <c r="R9" t="s">
        <v>163</v>
      </c>
      <c r="U9" t="s">
        <v>239</v>
      </c>
      <c r="V9" t="s">
        <v>227</v>
      </c>
      <c r="W9" t="s">
        <v>228</v>
      </c>
    </row>
    <row r="10" spans="2:23" x14ac:dyDescent="0.25">
      <c r="B10" t="s">
        <v>25</v>
      </c>
      <c r="C10" t="s">
        <v>26</v>
      </c>
      <c r="D10" t="s">
        <v>26</v>
      </c>
      <c r="I10" t="s">
        <v>147</v>
      </c>
      <c r="J10" t="s">
        <v>141</v>
      </c>
      <c r="K10">
        <v>530</v>
      </c>
      <c r="L10">
        <v>352</v>
      </c>
      <c r="M10">
        <v>43831</v>
      </c>
      <c r="N10">
        <v>45723</v>
      </c>
      <c r="Q10">
        <f t="shared" si="0"/>
        <v>0</v>
      </c>
      <c r="R10" t="s">
        <v>164</v>
      </c>
      <c r="U10" t="s">
        <v>240</v>
      </c>
      <c r="V10" t="s">
        <v>227</v>
      </c>
      <c r="W10" t="s">
        <v>228</v>
      </c>
    </row>
    <row r="11" spans="2:23" x14ac:dyDescent="0.25">
      <c r="B11" t="s">
        <v>27</v>
      </c>
      <c r="C11" t="s">
        <v>28</v>
      </c>
      <c r="D11" t="s">
        <v>29</v>
      </c>
      <c r="I11" t="s">
        <v>147</v>
      </c>
      <c r="J11" t="s">
        <v>142</v>
      </c>
      <c r="K11">
        <v>197</v>
      </c>
      <c r="L11">
        <v>131</v>
      </c>
      <c r="M11">
        <v>43831</v>
      </c>
      <c r="N11">
        <v>45723</v>
      </c>
      <c r="Q11">
        <f t="shared" si="0"/>
        <v>0</v>
      </c>
      <c r="R11" t="s">
        <v>165</v>
      </c>
      <c r="U11" t="s">
        <v>241</v>
      </c>
      <c r="V11" t="s">
        <v>237</v>
      </c>
      <c r="W11" t="s">
        <v>228</v>
      </c>
    </row>
    <row r="12" spans="2:23" x14ac:dyDescent="0.25">
      <c r="B12" t="s">
        <v>30</v>
      </c>
      <c r="C12" t="s">
        <v>31</v>
      </c>
      <c r="D12" t="s">
        <v>8</v>
      </c>
      <c r="I12" t="s">
        <v>147</v>
      </c>
      <c r="J12" t="s">
        <v>1</v>
      </c>
      <c r="K12">
        <v>700</v>
      </c>
      <c r="L12">
        <v>350</v>
      </c>
      <c r="M12">
        <v>43831</v>
      </c>
      <c r="N12">
        <v>45723</v>
      </c>
      <c r="Q12">
        <f t="shared" si="0"/>
        <v>0</v>
      </c>
      <c r="R12" t="s">
        <v>166</v>
      </c>
      <c r="U12" t="s">
        <v>242</v>
      </c>
      <c r="V12" t="s">
        <v>243</v>
      </c>
      <c r="W12" t="s">
        <v>244</v>
      </c>
    </row>
    <row r="13" spans="2:23" x14ac:dyDescent="0.25">
      <c r="B13" t="s">
        <v>32</v>
      </c>
      <c r="C13" t="s">
        <v>33</v>
      </c>
      <c r="D13" t="s">
        <v>36</v>
      </c>
      <c r="I13" t="s">
        <v>147</v>
      </c>
      <c r="J13" t="s">
        <v>143</v>
      </c>
      <c r="K13">
        <v>625</v>
      </c>
      <c r="L13">
        <v>375</v>
      </c>
      <c r="M13">
        <v>43831</v>
      </c>
      <c r="N13">
        <v>45723</v>
      </c>
      <c r="Q13">
        <f t="shared" si="0"/>
        <v>1</v>
      </c>
      <c r="R13" t="s">
        <v>27</v>
      </c>
      <c r="S13">
        <v>760</v>
      </c>
      <c r="U13" t="s">
        <v>3</v>
      </c>
      <c r="V13" t="s">
        <v>109</v>
      </c>
      <c r="W13" t="s">
        <v>245</v>
      </c>
    </row>
    <row r="14" spans="2:23" x14ac:dyDescent="0.25">
      <c r="C14" t="s">
        <v>34</v>
      </c>
      <c r="D14" t="s">
        <v>34</v>
      </c>
      <c r="I14" t="s">
        <v>147</v>
      </c>
      <c r="J14" t="s">
        <v>144</v>
      </c>
      <c r="K14">
        <v>65</v>
      </c>
      <c r="M14">
        <v>43831</v>
      </c>
      <c r="N14">
        <v>45723</v>
      </c>
      <c r="Q14">
        <f t="shared" si="0"/>
        <v>0</v>
      </c>
      <c r="R14" t="s">
        <v>167</v>
      </c>
      <c r="U14" t="s">
        <v>6</v>
      </c>
      <c r="V14" t="s">
        <v>246</v>
      </c>
      <c r="W14" t="s">
        <v>245</v>
      </c>
    </row>
    <row r="15" spans="2:23" x14ac:dyDescent="0.25">
      <c r="C15" t="s">
        <v>35</v>
      </c>
      <c r="D15" t="s">
        <v>35</v>
      </c>
      <c r="I15" t="s">
        <v>147</v>
      </c>
      <c r="J15" t="s">
        <v>145</v>
      </c>
      <c r="K15">
        <v>625</v>
      </c>
      <c r="L15">
        <v>375</v>
      </c>
      <c r="M15">
        <v>43831</v>
      </c>
      <c r="N15">
        <v>45723</v>
      </c>
      <c r="Q15">
        <f t="shared" si="0"/>
        <v>0</v>
      </c>
      <c r="R15" t="s">
        <v>168</v>
      </c>
      <c r="U15" t="s">
        <v>9</v>
      </c>
      <c r="V15" t="s">
        <v>247</v>
      </c>
      <c r="W15" t="s">
        <v>245</v>
      </c>
    </row>
    <row r="16" spans="2:23" x14ac:dyDescent="0.25">
      <c r="B16" t="s">
        <v>37</v>
      </c>
      <c r="C16" t="s">
        <v>13</v>
      </c>
      <c r="D16" t="s">
        <v>38</v>
      </c>
      <c r="I16" t="s">
        <v>147</v>
      </c>
      <c r="J16" t="s">
        <v>146</v>
      </c>
      <c r="K16">
        <v>71</v>
      </c>
      <c r="M16">
        <v>43831</v>
      </c>
      <c r="N16">
        <v>45723</v>
      </c>
      <c r="Q16">
        <f t="shared" si="0"/>
        <v>0</v>
      </c>
      <c r="R16" t="s">
        <v>169</v>
      </c>
      <c r="U16" t="s">
        <v>21</v>
      </c>
      <c r="V16" t="s">
        <v>31</v>
      </c>
      <c r="W16" t="s">
        <v>248</v>
      </c>
    </row>
    <row r="17" spans="2:23" x14ac:dyDescent="0.25">
      <c r="B17" t="s">
        <v>39</v>
      </c>
      <c r="C17" t="s">
        <v>31</v>
      </c>
      <c r="D17" t="s">
        <v>8</v>
      </c>
      <c r="I17" t="s">
        <v>147</v>
      </c>
      <c r="J17" t="s">
        <v>143</v>
      </c>
      <c r="K17">
        <v>340</v>
      </c>
      <c r="L17">
        <v>204</v>
      </c>
      <c r="M17">
        <v>43831</v>
      </c>
      <c r="N17">
        <v>45723</v>
      </c>
      <c r="Q17">
        <f t="shared" si="0"/>
        <v>0</v>
      </c>
      <c r="R17" t="s">
        <v>170</v>
      </c>
      <c r="U17" t="s">
        <v>18</v>
      </c>
      <c r="V17" t="s">
        <v>19</v>
      </c>
      <c r="W17" t="s">
        <v>249</v>
      </c>
    </row>
    <row r="18" spans="2:23" x14ac:dyDescent="0.25">
      <c r="B18" t="s">
        <v>40</v>
      </c>
      <c r="C18" t="s">
        <v>31</v>
      </c>
      <c r="D18" t="s">
        <v>8</v>
      </c>
      <c r="I18" t="s">
        <v>148</v>
      </c>
      <c r="J18" t="s">
        <v>141</v>
      </c>
      <c r="K18">
        <v>530</v>
      </c>
      <c r="L18">
        <v>352</v>
      </c>
      <c r="M18">
        <v>43831</v>
      </c>
      <c r="N18">
        <v>45856</v>
      </c>
      <c r="Q18">
        <f t="shared" si="0"/>
        <v>0</v>
      </c>
      <c r="R18" t="s">
        <v>171</v>
      </c>
      <c r="U18" t="s">
        <v>250</v>
      </c>
      <c r="V18" t="s">
        <v>16</v>
      </c>
      <c r="W18" t="s">
        <v>251</v>
      </c>
    </row>
    <row r="19" spans="2:23" x14ac:dyDescent="0.25">
      <c r="B19" t="s">
        <v>41</v>
      </c>
      <c r="C19" t="s">
        <v>7</v>
      </c>
      <c r="D19" t="s">
        <v>42</v>
      </c>
      <c r="I19" t="s">
        <v>148</v>
      </c>
      <c r="J19" t="s">
        <v>142</v>
      </c>
      <c r="K19">
        <v>197</v>
      </c>
      <c r="L19">
        <v>131</v>
      </c>
      <c r="M19">
        <v>43831</v>
      </c>
      <c r="N19">
        <v>45856</v>
      </c>
      <c r="Q19">
        <f t="shared" si="0"/>
        <v>0</v>
      </c>
      <c r="R19" t="s">
        <v>172</v>
      </c>
      <c r="U19" t="s">
        <v>252</v>
      </c>
      <c r="V19" t="s">
        <v>246</v>
      </c>
      <c r="W19" t="s">
        <v>251</v>
      </c>
    </row>
    <row r="20" spans="2:23" x14ac:dyDescent="0.25">
      <c r="B20" t="s">
        <v>43</v>
      </c>
      <c r="C20" t="s">
        <v>13</v>
      </c>
      <c r="D20" t="s">
        <v>44</v>
      </c>
      <c r="I20" t="s">
        <v>148</v>
      </c>
      <c r="J20" t="s">
        <v>1</v>
      </c>
      <c r="K20">
        <v>700</v>
      </c>
      <c r="L20">
        <v>350</v>
      </c>
      <c r="M20">
        <v>43831</v>
      </c>
      <c r="N20">
        <v>45856</v>
      </c>
      <c r="Q20">
        <f t="shared" si="0"/>
        <v>0</v>
      </c>
      <c r="R20" t="s">
        <v>173</v>
      </c>
      <c r="U20" t="s">
        <v>253</v>
      </c>
      <c r="V20" t="s">
        <v>254</v>
      </c>
      <c r="W20" t="s">
        <v>251</v>
      </c>
    </row>
    <row r="21" spans="2:23" x14ac:dyDescent="0.25">
      <c r="B21" t="s">
        <v>45</v>
      </c>
      <c r="C21" t="s">
        <v>46</v>
      </c>
      <c r="D21" t="s">
        <v>42</v>
      </c>
      <c r="I21" t="s">
        <v>148</v>
      </c>
      <c r="J21" t="s">
        <v>143</v>
      </c>
      <c r="K21">
        <v>625</v>
      </c>
      <c r="L21">
        <v>375</v>
      </c>
      <c r="M21">
        <v>43831</v>
      </c>
      <c r="N21">
        <v>45856</v>
      </c>
      <c r="Q21">
        <f t="shared" si="0"/>
        <v>0</v>
      </c>
      <c r="R21" t="s">
        <v>174</v>
      </c>
    </row>
    <row r="22" spans="2:23" x14ac:dyDescent="0.25">
      <c r="B22" t="s">
        <v>47</v>
      </c>
      <c r="C22" t="s">
        <v>48</v>
      </c>
      <c r="D22" t="s">
        <v>29</v>
      </c>
      <c r="I22" t="s">
        <v>148</v>
      </c>
      <c r="J22" t="s">
        <v>144</v>
      </c>
      <c r="K22">
        <v>65</v>
      </c>
      <c r="M22">
        <v>43831</v>
      </c>
      <c r="N22">
        <v>45856</v>
      </c>
      <c r="Q22">
        <f t="shared" si="0"/>
        <v>1</v>
      </c>
      <c r="R22" t="s">
        <v>45</v>
      </c>
    </row>
    <row r="23" spans="2:23" x14ac:dyDescent="0.25">
      <c r="B23" t="s">
        <v>49</v>
      </c>
      <c r="C23" t="s">
        <v>31</v>
      </c>
      <c r="D23" t="s">
        <v>8</v>
      </c>
      <c r="I23" t="s">
        <v>148</v>
      </c>
      <c r="J23" t="s">
        <v>145</v>
      </c>
      <c r="K23">
        <v>625</v>
      </c>
      <c r="L23">
        <v>375</v>
      </c>
      <c r="M23">
        <v>43831</v>
      </c>
      <c r="N23">
        <v>45856</v>
      </c>
      <c r="Q23">
        <f t="shared" si="0"/>
        <v>1</v>
      </c>
      <c r="R23" t="s">
        <v>64</v>
      </c>
      <c r="U23" t="s">
        <v>21</v>
      </c>
      <c r="V23" t="s">
        <v>31</v>
      </c>
      <c r="W23" t="s">
        <v>256</v>
      </c>
    </row>
    <row r="24" spans="2:23" x14ac:dyDescent="0.25">
      <c r="B24" t="s">
        <v>50</v>
      </c>
      <c r="C24" t="s">
        <v>48</v>
      </c>
      <c r="D24" t="s">
        <v>42</v>
      </c>
      <c r="I24" t="s">
        <v>148</v>
      </c>
      <c r="J24" t="s">
        <v>146</v>
      </c>
      <c r="K24">
        <v>71</v>
      </c>
      <c r="M24">
        <v>43831</v>
      </c>
      <c r="N24">
        <v>45856</v>
      </c>
      <c r="Q24">
        <f t="shared" si="0"/>
        <v>1</v>
      </c>
      <c r="R24" t="s">
        <v>68</v>
      </c>
      <c r="U24" t="s">
        <v>18</v>
      </c>
      <c r="V24" t="s">
        <v>19</v>
      </c>
      <c r="W24" t="s">
        <v>257</v>
      </c>
    </row>
    <row r="25" spans="2:23" x14ac:dyDescent="0.25">
      <c r="B25" t="s">
        <v>51</v>
      </c>
      <c r="C25" t="s">
        <v>26</v>
      </c>
      <c r="D25" t="s">
        <v>26</v>
      </c>
      <c r="I25" t="s">
        <v>148</v>
      </c>
      <c r="J25" t="s">
        <v>143</v>
      </c>
      <c r="K25">
        <v>340</v>
      </c>
      <c r="L25">
        <v>204</v>
      </c>
      <c r="M25">
        <v>43831</v>
      </c>
      <c r="N25">
        <v>45856</v>
      </c>
      <c r="Q25">
        <f t="shared" si="0"/>
        <v>1</v>
      </c>
      <c r="R25" t="s">
        <v>53</v>
      </c>
      <c r="U25" t="s">
        <v>15</v>
      </c>
      <c r="V25" t="s">
        <v>16</v>
      </c>
      <c r="W25" t="s">
        <v>258</v>
      </c>
    </row>
    <row r="26" spans="2:23" x14ac:dyDescent="0.25">
      <c r="B26" t="s">
        <v>52</v>
      </c>
      <c r="C26" t="s">
        <v>31</v>
      </c>
      <c r="D26" t="s">
        <v>8</v>
      </c>
      <c r="I26" t="s">
        <v>148</v>
      </c>
      <c r="J26" t="s">
        <v>149</v>
      </c>
      <c r="K26">
        <v>60</v>
      </c>
      <c r="L26">
        <v>30</v>
      </c>
      <c r="M26">
        <v>43831</v>
      </c>
      <c r="N26">
        <v>45919</v>
      </c>
      <c r="Q26">
        <f t="shared" si="0"/>
        <v>0</v>
      </c>
      <c r="R26" t="s">
        <v>175</v>
      </c>
      <c r="U26" t="s">
        <v>110</v>
      </c>
      <c r="V26" t="s">
        <v>259</v>
      </c>
      <c r="W26" t="s">
        <v>260</v>
      </c>
    </row>
    <row r="27" spans="2:23" x14ac:dyDescent="0.25">
      <c r="B27" t="s">
        <v>53</v>
      </c>
      <c r="C27" t="s">
        <v>54</v>
      </c>
      <c r="D27" t="s">
        <v>56</v>
      </c>
      <c r="I27" t="s">
        <v>148</v>
      </c>
      <c r="J27" t="s">
        <v>145</v>
      </c>
      <c r="K27">
        <v>750</v>
      </c>
      <c r="L27">
        <v>450</v>
      </c>
      <c r="M27">
        <v>43831</v>
      </c>
      <c r="N27">
        <v>45919</v>
      </c>
      <c r="Q27">
        <f t="shared" si="0"/>
        <v>0</v>
      </c>
      <c r="R27" t="s">
        <v>176</v>
      </c>
      <c r="U27" t="s">
        <v>261</v>
      </c>
      <c r="V27" t="s">
        <v>7</v>
      </c>
      <c r="W27" t="s">
        <v>262</v>
      </c>
    </row>
    <row r="28" spans="2:23" x14ac:dyDescent="0.25">
      <c r="C28" t="s">
        <v>55</v>
      </c>
      <c r="D28" t="s">
        <v>57</v>
      </c>
      <c r="I28" t="s">
        <v>148</v>
      </c>
      <c r="J28" t="s">
        <v>149</v>
      </c>
      <c r="K28">
        <v>60</v>
      </c>
      <c r="L28">
        <v>30</v>
      </c>
      <c r="M28">
        <v>43831</v>
      </c>
      <c r="N28">
        <v>45919</v>
      </c>
      <c r="Q28">
        <f t="shared" si="0"/>
        <v>1</v>
      </c>
      <c r="R28" t="s">
        <v>94</v>
      </c>
      <c r="U28" t="s">
        <v>53</v>
      </c>
      <c r="V28" t="s">
        <v>7</v>
      </c>
      <c r="W28" t="s">
        <v>263</v>
      </c>
    </row>
    <row r="29" spans="2:23" x14ac:dyDescent="0.25">
      <c r="B29" t="s">
        <v>58</v>
      </c>
      <c r="C29" t="s">
        <v>31</v>
      </c>
      <c r="D29" t="s">
        <v>8</v>
      </c>
      <c r="I29" t="s">
        <v>148</v>
      </c>
      <c r="J29" t="s">
        <v>145</v>
      </c>
      <c r="K29">
        <v>750</v>
      </c>
      <c r="L29">
        <v>450</v>
      </c>
      <c r="M29">
        <v>43831</v>
      </c>
      <c r="N29">
        <v>45919</v>
      </c>
      <c r="Q29">
        <f t="shared" si="0"/>
        <v>1</v>
      </c>
      <c r="R29" t="s">
        <v>110</v>
      </c>
      <c r="U29" t="s">
        <v>264</v>
      </c>
      <c r="V29" t="s">
        <v>265</v>
      </c>
      <c r="W29" t="s">
        <v>263</v>
      </c>
    </row>
    <row r="30" spans="2:23" x14ac:dyDescent="0.25">
      <c r="B30" t="s">
        <v>59</v>
      </c>
      <c r="C30" t="s">
        <v>26</v>
      </c>
      <c r="D30" t="s">
        <v>26</v>
      </c>
      <c r="I30" t="s">
        <v>148</v>
      </c>
      <c r="J30" t="s">
        <v>149</v>
      </c>
      <c r="K30">
        <v>60</v>
      </c>
      <c r="L30">
        <v>30</v>
      </c>
      <c r="M30">
        <v>43831</v>
      </c>
      <c r="N30">
        <v>45919</v>
      </c>
      <c r="Q30">
        <f t="shared" si="0"/>
        <v>1</v>
      </c>
      <c r="R30" t="s">
        <v>47</v>
      </c>
      <c r="U30" t="s">
        <v>91</v>
      </c>
      <c r="V30" t="s">
        <v>48</v>
      </c>
      <c r="W30" t="s">
        <v>257</v>
      </c>
    </row>
    <row r="31" spans="2:23" x14ac:dyDescent="0.25">
      <c r="B31" t="s">
        <v>60</v>
      </c>
      <c r="C31" t="s">
        <v>55</v>
      </c>
      <c r="D31" t="s">
        <v>61</v>
      </c>
      <c r="I31" t="s">
        <v>148</v>
      </c>
      <c r="J31" t="s">
        <v>145</v>
      </c>
      <c r="K31">
        <v>750</v>
      </c>
      <c r="L31">
        <v>450</v>
      </c>
      <c r="M31">
        <v>43831</v>
      </c>
      <c r="N31">
        <v>45919</v>
      </c>
      <c r="Q31">
        <f t="shared" si="0"/>
        <v>0</v>
      </c>
      <c r="R31" t="s">
        <v>177</v>
      </c>
      <c r="U31" t="s">
        <v>266</v>
      </c>
      <c r="V31" t="s">
        <v>46</v>
      </c>
      <c r="W31" t="s">
        <v>267</v>
      </c>
    </row>
    <row r="32" spans="2:23" x14ac:dyDescent="0.25">
      <c r="B32" t="s">
        <v>62</v>
      </c>
      <c r="C32" t="s">
        <v>46</v>
      </c>
      <c r="D32" t="s">
        <v>63</v>
      </c>
      <c r="I32" t="s">
        <v>148</v>
      </c>
      <c r="J32" t="s">
        <v>149</v>
      </c>
      <c r="K32">
        <v>60</v>
      </c>
      <c r="L32">
        <v>30</v>
      </c>
      <c r="M32">
        <v>43831</v>
      </c>
      <c r="N32">
        <v>45919</v>
      </c>
      <c r="Q32">
        <f t="shared" si="0"/>
        <v>0</v>
      </c>
      <c r="R32" t="s">
        <v>178</v>
      </c>
      <c r="U32" t="s">
        <v>268</v>
      </c>
      <c r="V32" t="s">
        <v>269</v>
      </c>
      <c r="W32" t="s">
        <v>267</v>
      </c>
    </row>
    <row r="33" spans="2:23" x14ac:dyDescent="0.25">
      <c r="B33" t="s">
        <v>64</v>
      </c>
      <c r="C33" t="s">
        <v>22</v>
      </c>
      <c r="D33" t="s">
        <v>24</v>
      </c>
      <c r="I33" t="s">
        <v>148</v>
      </c>
      <c r="J33" t="s">
        <v>145</v>
      </c>
      <c r="K33">
        <v>750</v>
      </c>
      <c r="L33">
        <v>450</v>
      </c>
      <c r="M33">
        <v>43831</v>
      </c>
      <c r="N33">
        <v>45919</v>
      </c>
      <c r="Q33">
        <f t="shared" si="0"/>
        <v>0</v>
      </c>
      <c r="R33" t="s">
        <v>179</v>
      </c>
      <c r="U33" t="s">
        <v>268</v>
      </c>
      <c r="V33" t="s">
        <v>109</v>
      </c>
      <c r="W33" t="s">
        <v>262</v>
      </c>
    </row>
    <row r="34" spans="2:23" x14ac:dyDescent="0.25">
      <c r="B34" t="s">
        <v>65</v>
      </c>
      <c r="C34" t="s">
        <v>66</v>
      </c>
      <c r="D34" t="s">
        <v>29</v>
      </c>
      <c r="I34" t="s">
        <v>148</v>
      </c>
      <c r="J34" t="s">
        <v>149</v>
      </c>
      <c r="K34">
        <v>60</v>
      </c>
      <c r="L34">
        <v>30</v>
      </c>
      <c r="M34">
        <v>43831</v>
      </c>
      <c r="N34">
        <v>45919</v>
      </c>
      <c r="Q34">
        <f t="shared" si="0"/>
        <v>0</v>
      </c>
      <c r="R34" t="s">
        <v>180</v>
      </c>
      <c r="U34" t="s">
        <v>266</v>
      </c>
      <c r="V34" t="s">
        <v>46</v>
      </c>
      <c r="W34" t="s">
        <v>267</v>
      </c>
    </row>
    <row r="35" spans="2:23" x14ac:dyDescent="0.25">
      <c r="B35" t="s">
        <v>67</v>
      </c>
      <c r="C35" t="s">
        <v>7</v>
      </c>
      <c r="D35" t="s">
        <v>29</v>
      </c>
      <c r="I35" t="s">
        <v>148</v>
      </c>
      <c r="J35" t="s">
        <v>145</v>
      </c>
      <c r="K35">
        <v>750</v>
      </c>
      <c r="L35">
        <v>450</v>
      </c>
      <c r="M35">
        <v>43831</v>
      </c>
      <c r="N35">
        <v>45919</v>
      </c>
      <c r="Q35">
        <f t="shared" si="0"/>
        <v>0</v>
      </c>
      <c r="R35" t="s">
        <v>181</v>
      </c>
      <c r="U35" t="s">
        <v>270</v>
      </c>
      <c r="V35" t="s">
        <v>254</v>
      </c>
      <c r="W35" t="s">
        <v>262</v>
      </c>
    </row>
    <row r="36" spans="2:23" x14ac:dyDescent="0.25">
      <c r="B36" t="s">
        <v>68</v>
      </c>
      <c r="C36" t="s">
        <v>69</v>
      </c>
      <c r="D36" t="s">
        <v>71</v>
      </c>
      <c r="I36" t="s">
        <v>148</v>
      </c>
      <c r="J36" t="s">
        <v>149</v>
      </c>
      <c r="K36">
        <v>60</v>
      </c>
      <c r="L36">
        <v>30</v>
      </c>
      <c r="M36">
        <v>43831</v>
      </c>
      <c r="N36">
        <v>45919</v>
      </c>
      <c r="Q36">
        <f t="shared" si="0"/>
        <v>0</v>
      </c>
      <c r="R36" t="s">
        <v>182</v>
      </c>
      <c r="U36" t="s">
        <v>261</v>
      </c>
      <c r="V36" t="s">
        <v>246</v>
      </c>
      <c r="W36" t="s">
        <v>262</v>
      </c>
    </row>
    <row r="37" spans="2:23" x14ac:dyDescent="0.25">
      <c r="C37" t="s">
        <v>70</v>
      </c>
      <c r="D37" t="s">
        <v>72</v>
      </c>
      <c r="I37" t="s">
        <v>148</v>
      </c>
      <c r="J37" t="s">
        <v>145</v>
      </c>
      <c r="K37">
        <v>750</v>
      </c>
      <c r="L37">
        <v>450</v>
      </c>
      <c r="M37">
        <v>43831</v>
      </c>
      <c r="N37">
        <v>45919</v>
      </c>
      <c r="Q37">
        <f t="shared" si="0"/>
        <v>0</v>
      </c>
      <c r="R37" t="s">
        <v>183</v>
      </c>
      <c r="U37" t="s">
        <v>271</v>
      </c>
      <c r="V37" t="s">
        <v>272</v>
      </c>
      <c r="W37" t="s">
        <v>273</v>
      </c>
    </row>
    <row r="38" spans="2:23" x14ac:dyDescent="0.25">
      <c r="D38" t="s">
        <v>73</v>
      </c>
      <c r="I38" t="s">
        <v>150</v>
      </c>
      <c r="J38" t="s">
        <v>141</v>
      </c>
      <c r="K38">
        <v>590</v>
      </c>
      <c r="L38">
        <v>392</v>
      </c>
      <c r="M38">
        <v>43831</v>
      </c>
      <c r="N38">
        <v>45723</v>
      </c>
      <c r="Q38">
        <f t="shared" si="0"/>
        <v>0</v>
      </c>
      <c r="R38" t="s">
        <v>184</v>
      </c>
      <c r="U38" t="s">
        <v>87</v>
      </c>
      <c r="V38" t="s">
        <v>48</v>
      </c>
      <c r="W38" t="s">
        <v>274</v>
      </c>
    </row>
    <row r="39" spans="2:23" x14ac:dyDescent="0.25">
      <c r="B39" t="s">
        <v>74</v>
      </c>
      <c r="C39" t="s">
        <v>7</v>
      </c>
      <c r="D39" t="s">
        <v>29</v>
      </c>
      <c r="I39" t="s">
        <v>150</v>
      </c>
      <c r="J39" t="s">
        <v>142</v>
      </c>
      <c r="K39">
        <v>243</v>
      </c>
      <c r="L39">
        <v>162</v>
      </c>
      <c r="M39">
        <v>43831</v>
      </c>
      <c r="N39">
        <v>45723</v>
      </c>
      <c r="Q39">
        <f t="shared" si="0"/>
        <v>0</v>
      </c>
      <c r="R39" t="s">
        <v>185</v>
      </c>
      <c r="U39" t="s">
        <v>275</v>
      </c>
      <c r="V39" t="s">
        <v>48</v>
      </c>
      <c r="W39" t="s">
        <v>276</v>
      </c>
    </row>
    <row r="40" spans="2:23" x14ac:dyDescent="0.25">
      <c r="B40" t="s">
        <v>75</v>
      </c>
      <c r="C40" t="s">
        <v>31</v>
      </c>
      <c r="D40" t="s">
        <v>42</v>
      </c>
      <c r="I40" t="s">
        <v>150</v>
      </c>
      <c r="J40" t="s">
        <v>1</v>
      </c>
      <c r="K40">
        <v>870</v>
      </c>
      <c r="L40">
        <v>430</v>
      </c>
      <c r="M40">
        <v>43831</v>
      </c>
      <c r="N40">
        <v>45723</v>
      </c>
      <c r="Q40">
        <f t="shared" si="0"/>
        <v>0</v>
      </c>
      <c r="R40" t="s">
        <v>186</v>
      </c>
      <c r="U40" t="s">
        <v>277</v>
      </c>
      <c r="V40" t="s">
        <v>48</v>
      </c>
      <c r="W40" t="s">
        <v>276</v>
      </c>
    </row>
    <row r="41" spans="2:23" x14ac:dyDescent="0.25">
      <c r="B41" t="s">
        <v>76</v>
      </c>
      <c r="C41" t="s">
        <v>7</v>
      </c>
      <c r="D41" t="s">
        <v>13</v>
      </c>
      <c r="I41" t="s">
        <v>150</v>
      </c>
      <c r="J41" t="s">
        <v>143</v>
      </c>
      <c r="K41">
        <v>800</v>
      </c>
      <c r="L41">
        <v>476</v>
      </c>
      <c r="M41">
        <v>43831</v>
      </c>
      <c r="N41">
        <v>45723</v>
      </c>
      <c r="Q41">
        <f t="shared" si="0"/>
        <v>0</v>
      </c>
      <c r="R41" t="s">
        <v>187</v>
      </c>
      <c r="U41" t="s">
        <v>278</v>
      </c>
      <c r="V41" t="s">
        <v>48</v>
      </c>
      <c r="W41" t="s">
        <v>279</v>
      </c>
    </row>
    <row r="42" spans="2:23" x14ac:dyDescent="0.25">
      <c r="B42" t="s">
        <v>77</v>
      </c>
      <c r="C42" t="s">
        <v>48</v>
      </c>
      <c r="D42" t="s">
        <v>29</v>
      </c>
      <c r="I42" t="s">
        <v>150</v>
      </c>
      <c r="J42" t="s">
        <v>144</v>
      </c>
      <c r="K42">
        <v>88</v>
      </c>
      <c r="M42">
        <v>43831</v>
      </c>
      <c r="N42">
        <v>45723</v>
      </c>
      <c r="Q42">
        <f t="shared" si="0"/>
        <v>0</v>
      </c>
      <c r="R42" t="s">
        <v>188</v>
      </c>
      <c r="U42" t="s">
        <v>197</v>
      </c>
      <c r="V42" t="s">
        <v>31</v>
      </c>
      <c r="W42" t="s">
        <v>280</v>
      </c>
    </row>
    <row r="43" spans="2:23" x14ac:dyDescent="0.25">
      <c r="B43" t="s">
        <v>78</v>
      </c>
      <c r="C43" t="s">
        <v>79</v>
      </c>
      <c r="D43" t="s">
        <v>80</v>
      </c>
      <c r="I43" t="s">
        <v>150</v>
      </c>
      <c r="J43" t="s">
        <v>145</v>
      </c>
      <c r="K43">
        <v>800</v>
      </c>
      <c r="L43">
        <v>480</v>
      </c>
      <c r="M43">
        <v>43831</v>
      </c>
      <c r="N43">
        <v>45723</v>
      </c>
      <c r="Q43">
        <f t="shared" si="0"/>
        <v>0</v>
      </c>
      <c r="R43" t="s">
        <v>189</v>
      </c>
      <c r="U43" t="s">
        <v>21</v>
      </c>
      <c r="V43" t="s">
        <v>31</v>
      </c>
      <c r="W43" t="s">
        <v>281</v>
      </c>
    </row>
    <row r="44" spans="2:23" x14ac:dyDescent="0.25">
      <c r="B44" t="s">
        <v>81</v>
      </c>
      <c r="C44" t="s">
        <v>82</v>
      </c>
      <c r="D44" t="s">
        <v>8</v>
      </c>
      <c r="I44" t="s">
        <v>150</v>
      </c>
      <c r="J44" t="s">
        <v>146</v>
      </c>
      <c r="K44">
        <v>97</v>
      </c>
      <c r="M44">
        <v>43831</v>
      </c>
      <c r="N44">
        <v>45723</v>
      </c>
      <c r="Q44">
        <f t="shared" si="0"/>
        <v>0</v>
      </c>
      <c r="R44" t="s">
        <v>190</v>
      </c>
      <c r="U44" t="s">
        <v>87</v>
      </c>
      <c r="V44" t="s">
        <v>31</v>
      </c>
      <c r="W44" t="s">
        <v>282</v>
      </c>
    </row>
    <row r="45" spans="2:23" x14ac:dyDescent="0.25">
      <c r="B45" t="s">
        <v>83</v>
      </c>
      <c r="C45" t="s">
        <v>48</v>
      </c>
      <c r="D45" t="s">
        <v>29</v>
      </c>
      <c r="I45" t="s">
        <v>150</v>
      </c>
      <c r="J45" t="s">
        <v>143</v>
      </c>
      <c r="K45">
        <v>452</v>
      </c>
      <c r="L45">
        <v>271</v>
      </c>
      <c r="M45">
        <v>43831</v>
      </c>
      <c r="N45">
        <v>45723</v>
      </c>
      <c r="Q45">
        <f t="shared" si="0"/>
        <v>1</v>
      </c>
      <c r="R45" t="s">
        <v>67</v>
      </c>
      <c r="U45" t="s">
        <v>84</v>
      </c>
      <c r="V45" t="s">
        <v>31</v>
      </c>
      <c r="W45" t="s">
        <v>283</v>
      </c>
    </row>
    <row r="46" spans="2:23" x14ac:dyDescent="0.25">
      <c r="B46" t="s">
        <v>84</v>
      </c>
      <c r="C46" t="s">
        <v>31</v>
      </c>
      <c r="D46" t="s">
        <v>8</v>
      </c>
      <c r="I46" t="s">
        <v>151</v>
      </c>
      <c r="J46" t="s">
        <v>141</v>
      </c>
      <c r="K46">
        <v>530</v>
      </c>
      <c r="L46">
        <v>352</v>
      </c>
      <c r="M46">
        <v>44809</v>
      </c>
      <c r="N46">
        <v>45539</v>
      </c>
      <c r="Q46">
        <f t="shared" si="0"/>
        <v>0</v>
      </c>
      <c r="R46" t="s">
        <v>191</v>
      </c>
    </row>
    <row r="47" spans="2:23" x14ac:dyDescent="0.25">
      <c r="B47" t="s">
        <v>85</v>
      </c>
      <c r="C47" t="s">
        <v>31</v>
      </c>
      <c r="D47" t="s">
        <v>8</v>
      </c>
      <c r="I47" t="s">
        <v>151</v>
      </c>
      <c r="J47" t="s">
        <v>142</v>
      </c>
      <c r="K47">
        <v>220</v>
      </c>
      <c r="M47">
        <v>44809</v>
      </c>
      <c r="N47">
        <v>45539</v>
      </c>
      <c r="Q47">
        <f t="shared" si="0"/>
        <v>0</v>
      </c>
      <c r="R47" t="s">
        <v>192</v>
      </c>
      <c r="U47" t="s">
        <v>284</v>
      </c>
    </row>
    <row r="48" spans="2:23" x14ac:dyDescent="0.25">
      <c r="B48" t="s">
        <v>86</v>
      </c>
      <c r="C48" t="s">
        <v>46</v>
      </c>
      <c r="D48" t="s">
        <v>29</v>
      </c>
      <c r="I48" t="s">
        <v>151</v>
      </c>
      <c r="J48" t="s">
        <v>1</v>
      </c>
      <c r="K48">
        <v>700</v>
      </c>
      <c r="L48">
        <v>350</v>
      </c>
      <c r="M48">
        <v>44809</v>
      </c>
      <c r="N48">
        <v>45539</v>
      </c>
      <c r="Q48">
        <f t="shared" si="0"/>
        <v>0</v>
      </c>
      <c r="R48" t="s">
        <v>193</v>
      </c>
    </row>
    <row r="49" spans="2:23" x14ac:dyDescent="0.25">
      <c r="B49" t="s">
        <v>87</v>
      </c>
      <c r="C49" t="s">
        <v>31</v>
      </c>
      <c r="D49" t="s">
        <v>63</v>
      </c>
      <c r="I49" t="s">
        <v>151</v>
      </c>
      <c r="J49" t="s">
        <v>143</v>
      </c>
      <c r="K49">
        <v>625</v>
      </c>
      <c r="L49">
        <v>375</v>
      </c>
      <c r="M49">
        <v>44809</v>
      </c>
      <c r="N49">
        <v>45539</v>
      </c>
      <c r="Q49">
        <f t="shared" si="0"/>
        <v>0</v>
      </c>
      <c r="R49" t="s">
        <v>194</v>
      </c>
      <c r="U49" t="s">
        <v>285</v>
      </c>
    </row>
    <row r="50" spans="2:23" x14ac:dyDescent="0.25">
      <c r="B50" t="s">
        <v>88</v>
      </c>
      <c r="C50" t="s">
        <v>31</v>
      </c>
      <c r="D50" t="s">
        <v>8</v>
      </c>
      <c r="I50" t="s">
        <v>151</v>
      </c>
      <c r="J50" t="s">
        <v>144</v>
      </c>
      <c r="K50">
        <v>65</v>
      </c>
      <c r="M50">
        <v>44809</v>
      </c>
      <c r="N50">
        <v>45539</v>
      </c>
      <c r="Q50">
        <f t="shared" si="0"/>
        <v>0</v>
      </c>
      <c r="R50" t="s">
        <v>195</v>
      </c>
    </row>
    <row r="51" spans="2:23" x14ac:dyDescent="0.25">
      <c r="B51" t="s">
        <v>89</v>
      </c>
      <c r="C51" t="s">
        <v>19</v>
      </c>
      <c r="D51" t="s">
        <v>8</v>
      </c>
      <c r="I51" t="s">
        <v>151</v>
      </c>
      <c r="J51" t="s">
        <v>145</v>
      </c>
      <c r="K51">
        <v>625</v>
      </c>
      <c r="L51">
        <v>375</v>
      </c>
      <c r="M51">
        <v>44809</v>
      </c>
      <c r="N51">
        <v>45539</v>
      </c>
      <c r="Q51">
        <f t="shared" si="0"/>
        <v>0</v>
      </c>
      <c r="R51" t="s">
        <v>196</v>
      </c>
      <c r="U51" t="s">
        <v>0</v>
      </c>
      <c r="V51" t="s">
        <v>286</v>
      </c>
      <c r="W51" t="s">
        <v>255</v>
      </c>
    </row>
    <row r="52" spans="2:23" x14ac:dyDescent="0.25">
      <c r="B52" t="s">
        <v>90</v>
      </c>
      <c r="C52" t="s">
        <v>48</v>
      </c>
      <c r="D52" t="s">
        <v>29</v>
      </c>
      <c r="I52" t="s">
        <v>151</v>
      </c>
      <c r="J52" t="s">
        <v>146</v>
      </c>
      <c r="K52">
        <v>71</v>
      </c>
      <c r="M52">
        <v>44809</v>
      </c>
      <c r="N52">
        <v>45539</v>
      </c>
      <c r="Q52">
        <f t="shared" si="0"/>
        <v>0</v>
      </c>
      <c r="R52" t="s">
        <v>197</v>
      </c>
      <c r="U52" t="s">
        <v>0</v>
      </c>
      <c r="V52" t="s">
        <v>286</v>
      </c>
      <c r="W52" t="s">
        <v>255</v>
      </c>
    </row>
    <row r="53" spans="2:23" x14ac:dyDescent="0.25">
      <c r="B53" t="s">
        <v>91</v>
      </c>
      <c r="C53" t="s">
        <v>92</v>
      </c>
      <c r="D53" t="s">
        <v>93</v>
      </c>
      <c r="I53" t="s">
        <v>151</v>
      </c>
      <c r="J53" t="s">
        <v>143</v>
      </c>
      <c r="K53">
        <v>340</v>
      </c>
      <c r="L53">
        <v>204</v>
      </c>
      <c r="M53">
        <v>44809</v>
      </c>
      <c r="N53">
        <v>45539</v>
      </c>
      <c r="Q53">
        <f t="shared" si="0"/>
        <v>1</v>
      </c>
      <c r="R53" t="s">
        <v>87</v>
      </c>
      <c r="U53" t="s">
        <v>268</v>
      </c>
      <c r="V53" t="s">
        <v>109</v>
      </c>
      <c r="W53" t="s">
        <v>262</v>
      </c>
    </row>
    <row r="54" spans="2:23" x14ac:dyDescent="0.25">
      <c r="B54" t="s">
        <v>94</v>
      </c>
      <c r="C54" t="s">
        <v>95</v>
      </c>
      <c r="D54" t="s">
        <v>97</v>
      </c>
      <c r="I54" t="s">
        <v>152</v>
      </c>
      <c r="J54" t="s">
        <v>141</v>
      </c>
      <c r="K54">
        <v>590</v>
      </c>
      <c r="L54">
        <v>392</v>
      </c>
      <c r="M54">
        <v>44441</v>
      </c>
      <c r="N54">
        <v>45170</v>
      </c>
      <c r="Q54">
        <f t="shared" si="0"/>
        <v>0</v>
      </c>
      <c r="R54" t="s">
        <v>198</v>
      </c>
      <c r="U54" t="s">
        <v>101</v>
      </c>
      <c r="V54" t="s">
        <v>4</v>
      </c>
      <c r="W54" t="s">
        <v>281</v>
      </c>
    </row>
    <row r="55" spans="2:23" x14ac:dyDescent="0.25">
      <c r="C55" t="s">
        <v>96</v>
      </c>
      <c r="D55" t="s">
        <v>98</v>
      </c>
      <c r="I55" t="s">
        <v>152</v>
      </c>
      <c r="J55" t="s">
        <v>142</v>
      </c>
      <c r="K55">
        <v>0</v>
      </c>
      <c r="M55">
        <v>44441</v>
      </c>
      <c r="N55">
        <v>45170</v>
      </c>
      <c r="Q55">
        <f t="shared" si="0"/>
        <v>0</v>
      </c>
      <c r="R55" t="s">
        <v>199</v>
      </c>
      <c r="U55" t="s">
        <v>287</v>
      </c>
      <c r="V55" t="s">
        <v>4</v>
      </c>
      <c r="W55" t="s">
        <v>288</v>
      </c>
    </row>
    <row r="56" spans="2:23" x14ac:dyDescent="0.25">
      <c r="B56" t="s">
        <v>99</v>
      </c>
      <c r="C56" t="s">
        <v>31</v>
      </c>
      <c r="D56" t="s">
        <v>8</v>
      </c>
      <c r="I56" t="s">
        <v>152</v>
      </c>
      <c r="J56" t="s">
        <v>1</v>
      </c>
      <c r="K56">
        <v>870</v>
      </c>
      <c r="L56">
        <v>430</v>
      </c>
      <c r="M56">
        <v>44441</v>
      </c>
      <c r="N56">
        <v>45170</v>
      </c>
      <c r="Q56">
        <f t="shared" si="0"/>
        <v>0</v>
      </c>
      <c r="R56" t="s">
        <v>200</v>
      </c>
      <c r="U56" t="s">
        <v>266</v>
      </c>
      <c r="V56" t="s">
        <v>46</v>
      </c>
      <c r="W56" t="s">
        <v>262</v>
      </c>
    </row>
    <row r="57" spans="2:23" x14ac:dyDescent="0.25">
      <c r="B57" t="s">
        <v>100</v>
      </c>
      <c r="C57" t="s">
        <v>31</v>
      </c>
      <c r="D57" t="s">
        <v>42</v>
      </c>
      <c r="I57" t="s">
        <v>152</v>
      </c>
      <c r="J57" t="s">
        <v>143</v>
      </c>
      <c r="K57">
        <v>452</v>
      </c>
      <c r="L57">
        <v>271</v>
      </c>
      <c r="M57">
        <v>44441</v>
      </c>
      <c r="N57">
        <v>45170</v>
      </c>
      <c r="Q57">
        <f t="shared" si="0"/>
        <v>0</v>
      </c>
      <c r="R57" t="s">
        <v>201</v>
      </c>
      <c r="U57" t="s">
        <v>270</v>
      </c>
      <c r="V57" t="s">
        <v>254</v>
      </c>
      <c r="W57" t="s">
        <v>262</v>
      </c>
    </row>
    <row r="58" spans="2:23" x14ac:dyDescent="0.25">
      <c r="B58" t="s">
        <v>101</v>
      </c>
      <c r="C58" t="s">
        <v>102</v>
      </c>
      <c r="D58" t="s">
        <v>36</v>
      </c>
      <c r="I58" t="s">
        <v>152</v>
      </c>
      <c r="J58" t="s">
        <v>144</v>
      </c>
      <c r="K58">
        <v>88</v>
      </c>
      <c r="M58">
        <v>44441</v>
      </c>
      <c r="N58">
        <v>45170</v>
      </c>
      <c r="Q58">
        <f t="shared" si="0"/>
        <v>0</v>
      </c>
      <c r="R58" t="s">
        <v>202</v>
      </c>
      <c r="U58" t="s">
        <v>53</v>
      </c>
      <c r="V58" t="s">
        <v>46</v>
      </c>
      <c r="W58" t="s">
        <v>289</v>
      </c>
    </row>
    <row r="59" spans="2:23" x14ac:dyDescent="0.25">
      <c r="C59" t="s">
        <v>103</v>
      </c>
      <c r="D59" t="s">
        <v>104</v>
      </c>
      <c r="I59" t="s">
        <v>152</v>
      </c>
      <c r="J59" t="s">
        <v>145</v>
      </c>
      <c r="K59">
        <v>800</v>
      </c>
      <c r="L59">
        <v>480</v>
      </c>
      <c r="M59">
        <v>44441</v>
      </c>
      <c r="N59">
        <v>45170</v>
      </c>
      <c r="Q59">
        <f t="shared" si="0"/>
        <v>0</v>
      </c>
      <c r="R59" t="s">
        <v>203</v>
      </c>
      <c r="U59" t="s">
        <v>290</v>
      </c>
      <c r="V59" t="s">
        <v>46</v>
      </c>
      <c r="W59" t="s">
        <v>281</v>
      </c>
    </row>
    <row r="60" spans="2:23" x14ac:dyDescent="0.25">
      <c r="B60" t="s">
        <v>105</v>
      </c>
      <c r="C60" t="s">
        <v>31</v>
      </c>
      <c r="D60" t="s">
        <v>29</v>
      </c>
      <c r="I60" t="s">
        <v>152</v>
      </c>
      <c r="J60" t="s">
        <v>146</v>
      </c>
      <c r="K60">
        <v>97</v>
      </c>
      <c r="M60">
        <v>44441</v>
      </c>
      <c r="N60">
        <v>45170</v>
      </c>
      <c r="Q60">
        <f t="shared" si="0"/>
        <v>0</v>
      </c>
      <c r="R60" t="s">
        <v>204</v>
      </c>
      <c r="U60" t="s">
        <v>89</v>
      </c>
      <c r="V60" t="s">
        <v>46</v>
      </c>
      <c r="W60" t="s">
        <v>267</v>
      </c>
    </row>
    <row r="61" spans="2:23" x14ac:dyDescent="0.25">
      <c r="B61" t="s">
        <v>106</v>
      </c>
      <c r="C61" t="s">
        <v>22</v>
      </c>
      <c r="D61" t="s">
        <v>93</v>
      </c>
      <c r="I61" t="s">
        <v>152</v>
      </c>
      <c r="J61" t="s">
        <v>149</v>
      </c>
      <c r="K61">
        <v>60</v>
      </c>
      <c r="L61">
        <v>30</v>
      </c>
      <c r="M61">
        <v>44441</v>
      </c>
      <c r="N61">
        <v>45170</v>
      </c>
      <c r="Q61">
        <f t="shared" si="0"/>
        <v>0</v>
      </c>
      <c r="R61" t="s">
        <v>205</v>
      </c>
      <c r="U61" t="s">
        <v>291</v>
      </c>
      <c r="V61" t="s">
        <v>246</v>
      </c>
      <c r="W61" t="s">
        <v>262</v>
      </c>
    </row>
    <row r="62" spans="2:23" x14ac:dyDescent="0.25">
      <c r="B62" t="s">
        <v>107</v>
      </c>
      <c r="C62" t="s">
        <v>48</v>
      </c>
      <c r="D62" t="s">
        <v>29</v>
      </c>
      <c r="I62" t="s">
        <v>152</v>
      </c>
      <c r="J62" t="s">
        <v>145</v>
      </c>
      <c r="K62">
        <v>750</v>
      </c>
      <c r="L62">
        <v>450</v>
      </c>
      <c r="M62">
        <v>44441</v>
      </c>
      <c r="N62">
        <v>45170</v>
      </c>
      <c r="Q62">
        <f t="shared" si="0"/>
        <v>0</v>
      </c>
      <c r="R62" t="s">
        <v>206</v>
      </c>
      <c r="U62" t="s">
        <v>292</v>
      </c>
      <c r="V62" t="s">
        <v>246</v>
      </c>
      <c r="W62" t="s">
        <v>263</v>
      </c>
    </row>
    <row r="63" spans="2:23" x14ac:dyDescent="0.25">
      <c r="B63" t="s">
        <v>108</v>
      </c>
      <c r="C63" t="s">
        <v>109</v>
      </c>
      <c r="D63" t="s">
        <v>5</v>
      </c>
      <c r="I63" t="s">
        <v>152</v>
      </c>
      <c r="J63" t="s">
        <v>153</v>
      </c>
      <c r="K63">
        <v>210</v>
      </c>
      <c r="M63">
        <v>44441</v>
      </c>
      <c r="N63">
        <v>45170</v>
      </c>
      <c r="Q63">
        <f t="shared" si="0"/>
        <v>0</v>
      </c>
      <c r="R63" t="s">
        <v>207</v>
      </c>
      <c r="U63" t="s">
        <v>64</v>
      </c>
      <c r="V63" t="s">
        <v>7</v>
      </c>
      <c r="W63" t="s">
        <v>263</v>
      </c>
    </row>
    <row r="64" spans="2:23" x14ac:dyDescent="0.25">
      <c r="B64" t="s">
        <v>110</v>
      </c>
      <c r="C64" t="s">
        <v>22</v>
      </c>
      <c r="D64" t="s">
        <v>24</v>
      </c>
      <c r="I64" t="s">
        <v>154</v>
      </c>
      <c r="J64" t="s">
        <v>141</v>
      </c>
      <c r="K64">
        <v>567</v>
      </c>
      <c r="L64">
        <v>376</v>
      </c>
      <c r="M64">
        <v>44441</v>
      </c>
      <c r="N64">
        <v>45170</v>
      </c>
      <c r="Q64">
        <f t="shared" si="0"/>
        <v>1</v>
      </c>
      <c r="R64" t="s">
        <v>89</v>
      </c>
      <c r="U64" t="s">
        <v>271</v>
      </c>
      <c r="V64" t="s">
        <v>272</v>
      </c>
      <c r="W64" t="s">
        <v>273</v>
      </c>
    </row>
    <row r="65" spans="2:23" x14ac:dyDescent="0.25">
      <c r="C65" t="s">
        <v>111</v>
      </c>
      <c r="D65" t="s">
        <v>113</v>
      </c>
      <c r="I65" t="s">
        <v>154</v>
      </c>
      <c r="J65" t="s">
        <v>142</v>
      </c>
      <c r="K65">
        <v>0</v>
      </c>
      <c r="M65">
        <v>44441</v>
      </c>
      <c r="N65">
        <v>45170</v>
      </c>
      <c r="Q65">
        <f t="shared" si="0"/>
        <v>0</v>
      </c>
      <c r="R65" t="s">
        <v>208</v>
      </c>
      <c r="U65" t="s">
        <v>87</v>
      </c>
      <c r="V65" t="s">
        <v>48</v>
      </c>
      <c r="W65" t="s">
        <v>274</v>
      </c>
    </row>
    <row r="66" spans="2:23" x14ac:dyDescent="0.25">
      <c r="C66" t="s">
        <v>112</v>
      </c>
      <c r="D66" t="s">
        <v>114</v>
      </c>
      <c r="I66" t="s">
        <v>154</v>
      </c>
      <c r="J66" t="s">
        <v>1</v>
      </c>
      <c r="K66">
        <v>790</v>
      </c>
      <c r="L66">
        <v>395</v>
      </c>
      <c r="M66">
        <v>44441</v>
      </c>
      <c r="N66">
        <v>45170</v>
      </c>
      <c r="Q66">
        <f t="shared" ref="Q66:Q88" si="1">COUNTIF(B:B,R66)</f>
        <v>1</v>
      </c>
      <c r="R66" t="s">
        <v>99</v>
      </c>
      <c r="U66" t="s">
        <v>293</v>
      </c>
      <c r="V66" t="s">
        <v>48</v>
      </c>
      <c r="W66" t="s">
        <v>276</v>
      </c>
    </row>
    <row r="67" spans="2:23" x14ac:dyDescent="0.25">
      <c r="B67" t="s">
        <v>115</v>
      </c>
      <c r="C67" t="s">
        <v>116</v>
      </c>
      <c r="D67" t="s">
        <v>116</v>
      </c>
      <c r="I67" t="s">
        <v>154</v>
      </c>
      <c r="J67" t="s">
        <v>143</v>
      </c>
      <c r="K67">
        <v>385</v>
      </c>
      <c r="L67">
        <v>231</v>
      </c>
      <c r="M67">
        <v>44441</v>
      </c>
      <c r="N67">
        <v>45170</v>
      </c>
      <c r="Q67">
        <f t="shared" si="1"/>
        <v>0</v>
      </c>
      <c r="R67" t="s">
        <v>209</v>
      </c>
      <c r="U67" t="s">
        <v>277</v>
      </c>
      <c r="V67" t="s">
        <v>48</v>
      </c>
      <c r="W67" t="s">
        <v>276</v>
      </c>
    </row>
    <row r="68" spans="2:23" x14ac:dyDescent="0.25">
      <c r="B68" t="s">
        <v>117</v>
      </c>
      <c r="C68" t="s">
        <v>4</v>
      </c>
      <c r="D68" t="s">
        <v>118</v>
      </c>
      <c r="I68" t="s">
        <v>154</v>
      </c>
      <c r="J68" t="s">
        <v>144</v>
      </c>
      <c r="K68">
        <v>77</v>
      </c>
      <c r="M68">
        <v>44441</v>
      </c>
      <c r="N68">
        <v>45170</v>
      </c>
      <c r="Q68">
        <f t="shared" si="1"/>
        <v>1</v>
      </c>
      <c r="R68" t="s">
        <v>91</v>
      </c>
      <c r="U68" t="s">
        <v>278</v>
      </c>
      <c r="V68" t="s">
        <v>48</v>
      </c>
      <c r="W68" t="s">
        <v>294</v>
      </c>
    </row>
    <row r="69" spans="2:23" x14ac:dyDescent="0.25">
      <c r="B69" t="s">
        <v>119</v>
      </c>
      <c r="C69" t="s">
        <v>48</v>
      </c>
      <c r="D69" t="s">
        <v>63</v>
      </c>
      <c r="I69" t="s">
        <v>154</v>
      </c>
      <c r="J69" t="s">
        <v>145</v>
      </c>
      <c r="K69">
        <v>700</v>
      </c>
      <c r="L69">
        <v>420</v>
      </c>
      <c r="M69">
        <v>44441</v>
      </c>
      <c r="N69">
        <v>45170</v>
      </c>
      <c r="Q69">
        <f t="shared" si="1"/>
        <v>0</v>
      </c>
      <c r="R69" t="s">
        <v>210</v>
      </c>
      <c r="U69" t="s">
        <v>15</v>
      </c>
      <c r="V69" t="s">
        <v>16</v>
      </c>
      <c r="W69" t="s">
        <v>258</v>
      </c>
    </row>
    <row r="70" spans="2:23" x14ac:dyDescent="0.25">
      <c r="B70" t="s">
        <v>120</v>
      </c>
      <c r="C70" t="s">
        <v>26</v>
      </c>
      <c r="D70" t="s">
        <v>26</v>
      </c>
      <c r="I70" t="s">
        <v>154</v>
      </c>
      <c r="J70" t="s">
        <v>146</v>
      </c>
      <c r="K70">
        <v>86</v>
      </c>
      <c r="M70">
        <v>44441</v>
      </c>
      <c r="N70">
        <v>45170</v>
      </c>
      <c r="Q70">
        <f t="shared" si="1"/>
        <v>0</v>
      </c>
      <c r="R70" t="s">
        <v>211</v>
      </c>
      <c r="U70" t="s">
        <v>27</v>
      </c>
      <c r="V70" t="s">
        <v>28</v>
      </c>
      <c r="W70" t="s">
        <v>267</v>
      </c>
    </row>
    <row r="71" spans="2:23" x14ac:dyDescent="0.25">
      <c r="B71" t="s">
        <v>121</v>
      </c>
      <c r="C71" t="s">
        <v>31</v>
      </c>
      <c r="D71" t="s">
        <v>8</v>
      </c>
      <c r="Q71">
        <f t="shared" si="1"/>
        <v>0</v>
      </c>
      <c r="R71" t="s">
        <v>212</v>
      </c>
      <c r="U71" t="s">
        <v>91</v>
      </c>
      <c r="V71" t="s">
        <v>48</v>
      </c>
      <c r="W71" t="s">
        <v>257</v>
      </c>
    </row>
    <row r="72" spans="2:23" x14ac:dyDescent="0.25">
      <c r="B72" t="s">
        <v>122</v>
      </c>
      <c r="C72" t="s">
        <v>123</v>
      </c>
      <c r="D72" t="s">
        <v>63</v>
      </c>
      <c r="Q72">
        <f t="shared" si="1"/>
        <v>1</v>
      </c>
      <c r="R72" t="s">
        <v>107</v>
      </c>
      <c r="U72" t="s">
        <v>197</v>
      </c>
      <c r="V72" t="s">
        <v>31</v>
      </c>
      <c r="W72" t="s">
        <v>280</v>
      </c>
    </row>
    <row r="73" spans="2:23" x14ac:dyDescent="0.25">
      <c r="B73" t="s">
        <v>124</v>
      </c>
      <c r="C73" t="s">
        <v>31</v>
      </c>
      <c r="D73" t="s">
        <v>8</v>
      </c>
      <c r="Q73">
        <f t="shared" si="1"/>
        <v>0</v>
      </c>
      <c r="R73" t="s">
        <v>213</v>
      </c>
      <c r="U73" t="s">
        <v>87</v>
      </c>
      <c r="V73" t="s">
        <v>31</v>
      </c>
      <c r="W73" t="s">
        <v>282</v>
      </c>
    </row>
    <row r="74" spans="2:23" x14ac:dyDescent="0.25">
      <c r="B74" t="s">
        <v>125</v>
      </c>
      <c r="C74" t="s">
        <v>31</v>
      </c>
      <c r="D74" t="s">
        <v>8</v>
      </c>
      <c r="Q74">
        <f t="shared" si="1"/>
        <v>0</v>
      </c>
      <c r="R74" t="s">
        <v>214</v>
      </c>
      <c r="U74" t="s">
        <v>84</v>
      </c>
      <c r="V74" t="s">
        <v>31</v>
      </c>
      <c r="W74" t="s">
        <v>283</v>
      </c>
    </row>
    <row r="75" spans="2:23" x14ac:dyDescent="0.25">
      <c r="B75" t="s">
        <v>126</v>
      </c>
      <c r="C75" t="s">
        <v>66</v>
      </c>
      <c r="D75" t="s">
        <v>17</v>
      </c>
      <c r="Q75">
        <f t="shared" si="1"/>
        <v>0</v>
      </c>
      <c r="R75" t="s">
        <v>215</v>
      </c>
      <c r="U75" t="s">
        <v>21</v>
      </c>
      <c r="V75" t="s">
        <v>31</v>
      </c>
      <c r="W75" t="s">
        <v>295</v>
      </c>
    </row>
    <row r="76" spans="2:23" x14ac:dyDescent="0.25">
      <c r="B76" t="s">
        <v>127</v>
      </c>
      <c r="C76" t="s">
        <v>92</v>
      </c>
      <c r="D76" t="s">
        <v>93</v>
      </c>
      <c r="Q76">
        <f t="shared" si="1"/>
        <v>0</v>
      </c>
      <c r="R76" t="s">
        <v>216</v>
      </c>
      <c r="U76" t="s">
        <v>18</v>
      </c>
      <c r="V76" t="s">
        <v>19</v>
      </c>
      <c r="W76" t="s">
        <v>296</v>
      </c>
    </row>
    <row r="77" spans="2:23" x14ac:dyDescent="0.25">
      <c r="B77" t="s">
        <v>128</v>
      </c>
      <c r="C77" t="s">
        <v>31</v>
      </c>
      <c r="D77" t="s">
        <v>8</v>
      </c>
      <c r="Q77">
        <f t="shared" si="1"/>
        <v>0</v>
      </c>
      <c r="R77" t="s">
        <v>217</v>
      </c>
      <c r="U77" t="s">
        <v>30</v>
      </c>
      <c r="V77" t="s">
        <v>31</v>
      </c>
      <c r="W77" t="s">
        <v>267</v>
      </c>
    </row>
    <row r="78" spans="2:23" x14ac:dyDescent="0.25">
      <c r="B78" t="s">
        <v>129</v>
      </c>
      <c r="C78" t="s">
        <v>31</v>
      </c>
      <c r="D78" t="s">
        <v>8</v>
      </c>
      <c r="Q78">
        <f t="shared" si="1"/>
        <v>0</v>
      </c>
      <c r="R78" t="s">
        <v>218</v>
      </c>
    </row>
    <row r="79" spans="2:23" x14ac:dyDescent="0.25">
      <c r="B79" t="s">
        <v>130</v>
      </c>
      <c r="C79" t="s">
        <v>31</v>
      </c>
      <c r="D79" t="s">
        <v>5</v>
      </c>
      <c r="Q79">
        <f t="shared" si="1"/>
        <v>1</v>
      </c>
      <c r="R79" t="s">
        <v>125</v>
      </c>
      <c r="U79" t="s">
        <v>297</v>
      </c>
    </row>
    <row r="80" spans="2:23" x14ac:dyDescent="0.25">
      <c r="B80" t="s">
        <v>131</v>
      </c>
      <c r="C80" t="s">
        <v>31</v>
      </c>
      <c r="D80" t="s">
        <v>29</v>
      </c>
      <c r="Q80">
        <f t="shared" si="1"/>
        <v>1</v>
      </c>
      <c r="R80" t="s">
        <v>127</v>
      </c>
    </row>
    <row r="81" spans="2:21" x14ac:dyDescent="0.25">
      <c r="B81" t="s">
        <v>132</v>
      </c>
      <c r="C81" t="s">
        <v>48</v>
      </c>
      <c r="D81" t="s">
        <v>29</v>
      </c>
      <c r="Q81">
        <f t="shared" si="1"/>
        <v>1</v>
      </c>
      <c r="R81" t="s">
        <v>128</v>
      </c>
      <c r="U81" t="s">
        <v>298</v>
      </c>
    </row>
    <row r="82" spans="2:21" x14ac:dyDescent="0.25">
      <c r="D82" t="s">
        <v>133</v>
      </c>
      <c r="Q82">
        <f t="shared" si="1"/>
        <v>0</v>
      </c>
      <c r="R82" t="s">
        <v>219</v>
      </c>
    </row>
    <row r="83" spans="2:21" x14ac:dyDescent="0.25">
      <c r="Q83">
        <f t="shared" si="1"/>
        <v>0</v>
      </c>
      <c r="R83" t="s">
        <v>220</v>
      </c>
      <c r="U83" t="s">
        <v>299</v>
      </c>
    </row>
    <row r="84" spans="2:21" x14ac:dyDescent="0.25">
      <c r="Q84">
        <f t="shared" si="1"/>
        <v>1</v>
      </c>
      <c r="R84" t="s">
        <v>131</v>
      </c>
    </row>
    <row r="85" spans="2:21" x14ac:dyDescent="0.25">
      <c r="Q85">
        <f t="shared" si="1"/>
        <v>0</v>
      </c>
      <c r="R85" t="s">
        <v>221</v>
      </c>
      <c r="U85" t="s">
        <v>300</v>
      </c>
    </row>
    <row r="86" spans="2:21" x14ac:dyDescent="0.25">
      <c r="Q86">
        <f t="shared" si="1"/>
        <v>0</v>
      </c>
      <c r="R86" t="s">
        <v>222</v>
      </c>
    </row>
    <row r="87" spans="2:21" x14ac:dyDescent="0.25">
      <c r="Q87">
        <f t="shared" si="1"/>
        <v>0</v>
      </c>
      <c r="R87" t="s">
        <v>223</v>
      </c>
      <c r="U87" t="s">
        <v>301</v>
      </c>
    </row>
    <row r="88" spans="2:21" x14ac:dyDescent="0.25">
      <c r="Q88">
        <f t="shared" si="1"/>
        <v>0</v>
      </c>
      <c r="R88" t="s">
        <v>224</v>
      </c>
    </row>
    <row r="89" spans="2:21" x14ac:dyDescent="0.25">
      <c r="U89" t="s">
        <v>302</v>
      </c>
    </row>
    <row r="91" spans="2:21" x14ac:dyDescent="0.25">
      <c r="U91" t="s">
        <v>303</v>
      </c>
    </row>
    <row r="93" spans="2:21" x14ac:dyDescent="0.25">
      <c r="U93" t="s">
        <v>304</v>
      </c>
    </row>
    <row r="95" spans="2:21" x14ac:dyDescent="0.25">
      <c r="U95" t="s">
        <v>305</v>
      </c>
    </row>
    <row r="97" spans="21:21" x14ac:dyDescent="0.25">
      <c r="U97" t="s">
        <v>306</v>
      </c>
    </row>
    <row r="99" spans="21:21" x14ac:dyDescent="0.25">
      <c r="U99" t="s">
        <v>307</v>
      </c>
    </row>
    <row r="101" spans="21:21" x14ac:dyDescent="0.25">
      <c r="U101" t="s">
        <v>308</v>
      </c>
    </row>
    <row r="103" spans="21:21" x14ac:dyDescent="0.25">
      <c r="U103" t="s">
        <v>309</v>
      </c>
    </row>
    <row r="105" spans="21:21" x14ac:dyDescent="0.25">
      <c r="U105" t="s">
        <v>310</v>
      </c>
    </row>
    <row r="107" spans="21:21" x14ac:dyDescent="0.25">
      <c r="U107" t="s">
        <v>311</v>
      </c>
    </row>
    <row r="109" spans="21:21" x14ac:dyDescent="0.25">
      <c r="U109" t="s">
        <v>312</v>
      </c>
    </row>
    <row r="111" spans="21:21" x14ac:dyDescent="0.25">
      <c r="U111" t="s">
        <v>313</v>
      </c>
    </row>
    <row r="113" spans="21:21" x14ac:dyDescent="0.25">
      <c r="U113" t="s">
        <v>314</v>
      </c>
    </row>
    <row r="115" spans="21:21" x14ac:dyDescent="0.25">
      <c r="U115" t="s">
        <v>315</v>
      </c>
    </row>
    <row r="117" spans="21:21" x14ac:dyDescent="0.25">
      <c r="U117" t="s">
        <v>316</v>
      </c>
    </row>
    <row r="119" spans="21:21" x14ac:dyDescent="0.25">
      <c r="U119" t="s">
        <v>317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C6D6-D3FA-4373-812E-6DD54D538D1E}">
  <dimension ref="B1:D298"/>
  <sheetViews>
    <sheetView tabSelected="1" zoomScale="85" zoomScaleNormal="85" workbookViewId="0">
      <selection activeCell="C20" sqref="C20"/>
    </sheetView>
  </sheetViews>
  <sheetFormatPr defaultRowHeight="15" x14ac:dyDescent="0.25"/>
  <cols>
    <col min="2" max="2" width="40.5703125" customWidth="1"/>
    <col min="3" max="3" width="28" style="2" customWidth="1"/>
    <col min="4" max="4" width="21.28515625" customWidth="1"/>
  </cols>
  <sheetData>
    <row r="1" spans="2:3" x14ac:dyDescent="0.25">
      <c r="B1" t="s">
        <v>318</v>
      </c>
      <c r="C1" s="2" t="s">
        <v>319</v>
      </c>
    </row>
    <row r="2" spans="2:3" x14ac:dyDescent="0.25">
      <c r="B2" t="s">
        <v>140</v>
      </c>
      <c r="C2" s="2">
        <v>700</v>
      </c>
    </row>
    <row r="3" spans="2:3" x14ac:dyDescent="0.25">
      <c r="B3" t="s">
        <v>147</v>
      </c>
      <c r="C3" s="2">
        <v>700</v>
      </c>
    </row>
    <row r="4" spans="2:3" x14ac:dyDescent="0.25">
      <c r="B4" t="s">
        <v>148</v>
      </c>
      <c r="C4" s="2">
        <v>700</v>
      </c>
    </row>
    <row r="5" spans="2:3" x14ac:dyDescent="0.25">
      <c r="B5" t="s">
        <v>150</v>
      </c>
      <c r="C5" s="2">
        <v>870</v>
      </c>
    </row>
    <row r="6" spans="2:3" x14ac:dyDescent="0.25">
      <c r="B6" t="s">
        <v>151</v>
      </c>
      <c r="C6" s="2">
        <v>700</v>
      </c>
    </row>
    <row r="7" spans="2:3" x14ac:dyDescent="0.25">
      <c r="B7" t="s">
        <v>152</v>
      </c>
      <c r="C7" s="2">
        <v>870</v>
      </c>
    </row>
    <row r="8" spans="2:3" x14ac:dyDescent="0.25">
      <c r="B8" t="s">
        <v>154</v>
      </c>
      <c r="C8" s="2">
        <v>790</v>
      </c>
    </row>
    <row r="9" spans="2:3" x14ac:dyDescent="0.25">
      <c r="B9" t="s">
        <v>226</v>
      </c>
      <c r="C9" s="2">
        <v>700</v>
      </c>
    </row>
    <row r="10" spans="2:3" x14ac:dyDescent="0.25">
      <c r="B10" t="s">
        <v>229</v>
      </c>
      <c r="C10" s="2">
        <v>700</v>
      </c>
    </row>
    <row r="11" spans="2:3" x14ac:dyDescent="0.25">
      <c r="B11" t="s">
        <v>230</v>
      </c>
      <c r="C11" s="2">
        <v>790</v>
      </c>
    </row>
    <row r="12" spans="2:3" x14ac:dyDescent="0.25">
      <c r="B12" t="s">
        <v>232</v>
      </c>
      <c r="C12" s="2">
        <v>870</v>
      </c>
    </row>
    <row r="13" spans="2:3" x14ac:dyDescent="0.25">
      <c r="B13" t="s">
        <v>234</v>
      </c>
      <c r="C13" s="2">
        <v>700</v>
      </c>
    </row>
    <row r="14" spans="2:3" x14ac:dyDescent="0.25">
      <c r="B14" t="s">
        <v>235</v>
      </c>
      <c r="C14" s="2">
        <v>700</v>
      </c>
    </row>
    <row r="15" spans="2:3" x14ac:dyDescent="0.25">
      <c r="B15" t="s">
        <v>236</v>
      </c>
      <c r="C15" s="2">
        <v>625</v>
      </c>
    </row>
    <row r="16" spans="2:3" x14ac:dyDescent="0.25">
      <c r="B16" t="s">
        <v>238</v>
      </c>
      <c r="C16" s="2">
        <v>625</v>
      </c>
    </row>
    <row r="17" spans="2:3" x14ac:dyDescent="0.25">
      <c r="B17" t="s">
        <v>239</v>
      </c>
      <c r="C17" s="2">
        <v>700</v>
      </c>
    </row>
    <row r="18" spans="2:3" x14ac:dyDescent="0.25">
      <c r="B18" t="s">
        <v>240</v>
      </c>
      <c r="C18" s="2">
        <v>700</v>
      </c>
    </row>
    <row r="19" spans="2:3" x14ac:dyDescent="0.25">
      <c r="B19" t="s">
        <v>241</v>
      </c>
      <c r="C19" s="2">
        <v>625</v>
      </c>
    </row>
    <row r="20" spans="2:3" x14ac:dyDescent="0.25">
      <c r="B20" t="s">
        <v>3</v>
      </c>
      <c r="C20" s="2">
        <v>900</v>
      </c>
    </row>
    <row r="21" spans="2:3" x14ac:dyDescent="0.25">
      <c r="B21" t="s">
        <v>6</v>
      </c>
      <c r="C21" s="2">
        <v>800</v>
      </c>
    </row>
    <row r="22" spans="2:3" x14ac:dyDescent="0.25">
      <c r="B22" t="s">
        <v>9</v>
      </c>
      <c r="C22" s="2">
        <v>600</v>
      </c>
    </row>
    <row r="23" spans="2:3" x14ac:dyDescent="0.25">
      <c r="B23" t="s">
        <v>21</v>
      </c>
      <c r="C23" s="2" t="s">
        <v>320</v>
      </c>
    </row>
    <row r="24" spans="2:3" x14ac:dyDescent="0.25">
      <c r="B24" t="s">
        <v>21</v>
      </c>
      <c r="C24" s="2" t="s">
        <v>321</v>
      </c>
    </row>
    <row r="25" spans="2:3" x14ac:dyDescent="0.25">
      <c r="B25" t="s">
        <v>18</v>
      </c>
      <c r="C25" s="2" t="s">
        <v>322</v>
      </c>
    </row>
    <row r="26" spans="2:3" x14ac:dyDescent="0.25">
      <c r="B26" t="s">
        <v>15</v>
      </c>
      <c r="C26" s="2">
        <v>750</v>
      </c>
    </row>
    <row r="27" spans="2:3" x14ac:dyDescent="0.25">
      <c r="B27" t="s">
        <v>250</v>
      </c>
      <c r="C27" s="2">
        <v>750</v>
      </c>
    </row>
    <row r="28" spans="2:3" x14ac:dyDescent="0.25">
      <c r="B28" t="s">
        <v>252</v>
      </c>
      <c r="C28" s="2">
        <v>800</v>
      </c>
    </row>
    <row r="29" spans="2:3" x14ac:dyDescent="0.25">
      <c r="B29" t="s">
        <v>253</v>
      </c>
      <c r="C29" s="2">
        <v>850</v>
      </c>
    </row>
    <row r="30" spans="2:3" x14ac:dyDescent="0.25">
      <c r="B30" t="s">
        <v>25</v>
      </c>
      <c r="C30" s="2" t="s">
        <v>26</v>
      </c>
    </row>
    <row r="31" spans="2:3" x14ac:dyDescent="0.25">
      <c r="B31" t="s">
        <v>27</v>
      </c>
      <c r="C31" s="2" t="s">
        <v>323</v>
      </c>
    </row>
    <row r="32" spans="2:3" x14ac:dyDescent="0.25">
      <c r="B32" t="s">
        <v>30</v>
      </c>
      <c r="C32" s="2" t="s">
        <v>324</v>
      </c>
    </row>
    <row r="33" spans="2:3" x14ac:dyDescent="0.25">
      <c r="B33" t="s">
        <v>290</v>
      </c>
      <c r="C33" s="2" t="s">
        <v>325</v>
      </c>
    </row>
    <row r="34" spans="2:3" x14ac:dyDescent="0.25">
      <c r="B34" t="s">
        <v>290</v>
      </c>
      <c r="C34" s="2" t="s">
        <v>326</v>
      </c>
    </row>
    <row r="35" spans="2:3" x14ac:dyDescent="0.25">
      <c r="B35" t="s">
        <v>37</v>
      </c>
      <c r="C35" s="2" t="s">
        <v>13</v>
      </c>
    </row>
    <row r="36" spans="2:3" x14ac:dyDescent="0.25">
      <c r="B36" t="s">
        <v>39</v>
      </c>
      <c r="C36" s="2" t="s">
        <v>324</v>
      </c>
    </row>
    <row r="37" spans="2:3" x14ac:dyDescent="0.25">
      <c r="B37" t="s">
        <v>40</v>
      </c>
      <c r="C37" s="2" t="s">
        <v>324</v>
      </c>
    </row>
    <row r="38" spans="2:3" x14ac:dyDescent="0.25">
      <c r="B38" t="s">
        <v>41</v>
      </c>
      <c r="C38" s="2" t="s">
        <v>327</v>
      </c>
    </row>
    <row r="39" spans="2:3" x14ac:dyDescent="0.25">
      <c r="B39" t="s">
        <v>43</v>
      </c>
      <c r="C39" s="2" t="s">
        <v>13</v>
      </c>
    </row>
    <row r="40" spans="2:3" x14ac:dyDescent="0.25">
      <c r="B40" t="s">
        <v>45</v>
      </c>
      <c r="C40" s="2" t="s">
        <v>328</v>
      </c>
    </row>
    <row r="41" spans="2:3" x14ac:dyDescent="0.25">
      <c r="B41" t="s">
        <v>47</v>
      </c>
      <c r="C41" s="2" t="s">
        <v>329</v>
      </c>
    </row>
    <row r="42" spans="2:3" x14ac:dyDescent="0.25">
      <c r="B42" t="s">
        <v>49</v>
      </c>
      <c r="C42" s="2" t="s">
        <v>324</v>
      </c>
    </row>
    <row r="43" spans="2:3" x14ac:dyDescent="0.25">
      <c r="B43" t="s">
        <v>50</v>
      </c>
      <c r="C43" s="2" t="s">
        <v>329</v>
      </c>
    </row>
    <row r="44" spans="2:3" x14ac:dyDescent="0.25">
      <c r="B44" t="s">
        <v>51</v>
      </c>
      <c r="C44" s="2" t="s">
        <v>26</v>
      </c>
    </row>
    <row r="45" spans="2:3" x14ac:dyDescent="0.25">
      <c r="B45" t="s">
        <v>52</v>
      </c>
      <c r="C45" s="2" t="s">
        <v>324</v>
      </c>
    </row>
    <row r="46" spans="2:3" x14ac:dyDescent="0.25">
      <c r="B46" t="s">
        <v>53</v>
      </c>
      <c r="C46" s="2" t="s">
        <v>330</v>
      </c>
    </row>
    <row r="47" spans="2:3" x14ac:dyDescent="0.25">
      <c r="B47" t="s">
        <v>53</v>
      </c>
      <c r="C47" s="2" t="s">
        <v>331</v>
      </c>
    </row>
    <row r="48" spans="2:3" x14ac:dyDescent="0.25">
      <c r="B48" t="s">
        <v>58</v>
      </c>
      <c r="C48" s="2" t="s">
        <v>324</v>
      </c>
    </row>
    <row r="49" spans="2:3" x14ac:dyDescent="0.25">
      <c r="B49" t="s">
        <v>59</v>
      </c>
      <c r="C49" s="2" t="s">
        <v>26</v>
      </c>
    </row>
    <row r="50" spans="2:3" x14ac:dyDescent="0.25">
      <c r="B50" t="s">
        <v>60</v>
      </c>
      <c r="C50" s="2" t="s">
        <v>331</v>
      </c>
    </row>
    <row r="51" spans="2:3" x14ac:dyDescent="0.25">
      <c r="B51" t="s">
        <v>62</v>
      </c>
      <c r="C51" s="2" t="s">
        <v>328</v>
      </c>
    </row>
    <row r="52" spans="2:3" x14ac:dyDescent="0.25">
      <c r="B52" s="3" t="s">
        <v>64</v>
      </c>
      <c r="C52" s="4" t="s">
        <v>324</v>
      </c>
    </row>
    <row r="53" spans="2:3" x14ac:dyDescent="0.25">
      <c r="B53" t="s">
        <v>65</v>
      </c>
      <c r="C53" s="2" t="s">
        <v>332</v>
      </c>
    </row>
    <row r="54" spans="2:3" x14ac:dyDescent="0.25">
      <c r="B54" t="s">
        <v>67</v>
      </c>
      <c r="C54" s="2" t="s">
        <v>327</v>
      </c>
    </row>
    <row r="55" spans="2:3" x14ac:dyDescent="0.25">
      <c r="B55" t="s">
        <v>68</v>
      </c>
      <c r="C55" s="2" t="s">
        <v>333</v>
      </c>
    </row>
    <row r="56" spans="2:3" x14ac:dyDescent="0.25">
      <c r="B56" t="s">
        <v>68</v>
      </c>
      <c r="C56" s="2" t="s">
        <v>334</v>
      </c>
    </row>
    <row r="57" spans="2:3" x14ac:dyDescent="0.25">
      <c r="B57" t="s">
        <v>74</v>
      </c>
      <c r="C57" s="2" t="s">
        <v>327</v>
      </c>
    </row>
    <row r="58" spans="2:3" x14ac:dyDescent="0.25">
      <c r="B58" t="s">
        <v>75</v>
      </c>
      <c r="C58" s="2" t="s">
        <v>324</v>
      </c>
    </row>
    <row r="59" spans="2:3" x14ac:dyDescent="0.25">
      <c r="B59" t="s">
        <v>76</v>
      </c>
      <c r="C59" s="2" t="s">
        <v>327</v>
      </c>
    </row>
    <row r="60" spans="2:3" x14ac:dyDescent="0.25">
      <c r="B60" t="s">
        <v>77</v>
      </c>
      <c r="C60" s="2" t="s">
        <v>329</v>
      </c>
    </row>
    <row r="61" spans="2:3" x14ac:dyDescent="0.25">
      <c r="B61" t="s">
        <v>78</v>
      </c>
      <c r="C61" s="2" t="s">
        <v>335</v>
      </c>
    </row>
    <row r="62" spans="2:3" x14ac:dyDescent="0.25">
      <c r="B62" t="s">
        <v>81</v>
      </c>
      <c r="C62" s="2" t="s">
        <v>336</v>
      </c>
    </row>
    <row r="63" spans="2:3" x14ac:dyDescent="0.25">
      <c r="B63" t="s">
        <v>83</v>
      </c>
      <c r="C63" s="2" t="s">
        <v>329</v>
      </c>
    </row>
    <row r="64" spans="2:3" x14ac:dyDescent="0.25">
      <c r="B64" t="s">
        <v>84</v>
      </c>
      <c r="C64" s="2" t="s">
        <v>324</v>
      </c>
    </row>
    <row r="65" spans="2:3" x14ac:dyDescent="0.25">
      <c r="B65" t="s">
        <v>85</v>
      </c>
      <c r="C65" s="2" t="s">
        <v>324</v>
      </c>
    </row>
    <row r="66" spans="2:3" x14ac:dyDescent="0.25">
      <c r="B66" t="s">
        <v>86</v>
      </c>
      <c r="C66" s="2" t="s">
        <v>328</v>
      </c>
    </row>
    <row r="67" spans="2:3" x14ac:dyDescent="0.25">
      <c r="B67" t="s">
        <v>87</v>
      </c>
      <c r="C67" s="2" t="s">
        <v>324</v>
      </c>
    </row>
    <row r="68" spans="2:3" x14ac:dyDescent="0.25">
      <c r="B68" t="s">
        <v>87</v>
      </c>
      <c r="C68" s="2" t="s">
        <v>329</v>
      </c>
    </row>
    <row r="69" spans="2:3" x14ac:dyDescent="0.25">
      <c r="B69" t="s">
        <v>88</v>
      </c>
      <c r="C69" s="2" t="s">
        <v>324</v>
      </c>
    </row>
    <row r="70" spans="2:3" x14ac:dyDescent="0.25">
      <c r="B70" t="s">
        <v>89</v>
      </c>
      <c r="C70" s="2" t="s">
        <v>322</v>
      </c>
    </row>
    <row r="71" spans="2:3" x14ac:dyDescent="0.25">
      <c r="B71" t="s">
        <v>90</v>
      </c>
      <c r="C71" s="2" t="s">
        <v>329</v>
      </c>
    </row>
    <row r="72" spans="2:3" x14ac:dyDescent="0.25">
      <c r="B72" t="s">
        <v>91</v>
      </c>
      <c r="C72" s="2" t="s">
        <v>329</v>
      </c>
    </row>
    <row r="73" spans="2:3" x14ac:dyDescent="0.25">
      <c r="B73" t="s">
        <v>94</v>
      </c>
      <c r="C73" s="2" t="s">
        <v>337</v>
      </c>
    </row>
    <row r="74" spans="2:3" x14ac:dyDescent="0.25">
      <c r="B74" t="s">
        <v>94</v>
      </c>
      <c r="C74" s="2" t="s">
        <v>324</v>
      </c>
    </row>
    <row r="75" spans="2:3" x14ac:dyDescent="0.25">
      <c r="B75" t="s">
        <v>99</v>
      </c>
      <c r="C75" s="2" t="s">
        <v>324</v>
      </c>
    </row>
    <row r="76" spans="2:3" ht="16.5" x14ac:dyDescent="0.25">
      <c r="B76" s="1" t="s">
        <v>344</v>
      </c>
      <c r="C76" s="2">
        <v>700</v>
      </c>
    </row>
    <row r="77" spans="2:3" x14ac:dyDescent="0.25">
      <c r="B77" t="s">
        <v>100</v>
      </c>
      <c r="C77" s="2" t="s">
        <v>324</v>
      </c>
    </row>
    <row r="78" spans="2:3" x14ac:dyDescent="0.25">
      <c r="B78" t="s">
        <v>101</v>
      </c>
      <c r="C78" s="2" t="s">
        <v>338</v>
      </c>
    </row>
    <row r="79" spans="2:3" x14ac:dyDescent="0.25">
      <c r="B79" t="s">
        <v>101</v>
      </c>
      <c r="C79" s="2" t="s">
        <v>339</v>
      </c>
    </row>
    <row r="80" spans="2:3" x14ac:dyDescent="0.25">
      <c r="B80" t="s">
        <v>105</v>
      </c>
      <c r="C80" s="2" t="s">
        <v>324</v>
      </c>
    </row>
    <row r="81" spans="2:3" x14ac:dyDescent="0.25">
      <c r="B81" t="s">
        <v>106</v>
      </c>
      <c r="C81" s="2" t="s">
        <v>324</v>
      </c>
    </row>
    <row r="82" spans="2:3" x14ac:dyDescent="0.25">
      <c r="B82" t="s">
        <v>107</v>
      </c>
      <c r="C82" s="2" t="s">
        <v>329</v>
      </c>
    </row>
    <row r="83" spans="2:3" x14ac:dyDescent="0.25">
      <c r="B83" t="s">
        <v>108</v>
      </c>
      <c r="C83" s="2">
        <v>900</v>
      </c>
    </row>
    <row r="84" spans="2:3" x14ac:dyDescent="0.25">
      <c r="B84" t="s">
        <v>110</v>
      </c>
      <c r="C84" s="2" t="s">
        <v>320</v>
      </c>
    </row>
    <row r="85" spans="2:3" x14ac:dyDescent="0.25">
      <c r="B85" t="s">
        <v>110</v>
      </c>
      <c r="C85" s="2" t="s">
        <v>340</v>
      </c>
    </row>
    <row r="86" spans="2:3" x14ac:dyDescent="0.25">
      <c r="B86" t="s">
        <v>115</v>
      </c>
      <c r="C86" s="2" t="s">
        <v>26</v>
      </c>
    </row>
    <row r="87" spans="2:3" x14ac:dyDescent="0.25">
      <c r="B87" t="s">
        <v>117</v>
      </c>
      <c r="C87" s="2" t="s">
        <v>341</v>
      </c>
    </row>
    <row r="88" spans="2:3" x14ac:dyDescent="0.25">
      <c r="B88" t="s">
        <v>119</v>
      </c>
      <c r="C88" s="2" t="s">
        <v>329</v>
      </c>
    </row>
    <row r="89" spans="2:3" x14ac:dyDescent="0.25">
      <c r="B89" t="s">
        <v>120</v>
      </c>
      <c r="C89" s="2" t="s">
        <v>26</v>
      </c>
    </row>
    <row r="90" spans="2:3" x14ac:dyDescent="0.25">
      <c r="B90" t="s">
        <v>121</v>
      </c>
      <c r="C90" s="2" t="s">
        <v>324</v>
      </c>
    </row>
    <row r="91" spans="2:3" x14ac:dyDescent="0.25">
      <c r="B91" t="s">
        <v>122</v>
      </c>
      <c r="C91" s="2" t="s">
        <v>342</v>
      </c>
    </row>
    <row r="92" spans="2:3" x14ac:dyDescent="0.25">
      <c r="B92" t="s">
        <v>124</v>
      </c>
      <c r="C92" s="2" t="s">
        <v>324</v>
      </c>
    </row>
    <row r="93" spans="2:3" x14ac:dyDescent="0.25">
      <c r="B93" t="s">
        <v>125</v>
      </c>
      <c r="C93" s="2" t="s">
        <v>324</v>
      </c>
    </row>
    <row r="94" spans="2:3" x14ac:dyDescent="0.25">
      <c r="B94" t="s">
        <v>126</v>
      </c>
      <c r="C94" s="2" t="s">
        <v>332</v>
      </c>
    </row>
    <row r="95" spans="2:3" x14ac:dyDescent="0.25">
      <c r="B95" t="s">
        <v>127</v>
      </c>
      <c r="C95" s="2" t="s">
        <v>329</v>
      </c>
    </row>
    <row r="96" spans="2:3" x14ac:dyDescent="0.25">
      <c r="B96" t="s">
        <v>128</v>
      </c>
      <c r="C96" s="2" t="s">
        <v>324</v>
      </c>
    </row>
    <row r="97" spans="2:4" x14ac:dyDescent="0.25">
      <c r="B97" t="s">
        <v>129</v>
      </c>
      <c r="C97" s="2" t="s">
        <v>324</v>
      </c>
    </row>
    <row r="98" spans="2:4" x14ac:dyDescent="0.25">
      <c r="B98" t="s">
        <v>130</v>
      </c>
      <c r="C98" s="2" t="s">
        <v>324</v>
      </c>
    </row>
    <row r="99" spans="2:4" x14ac:dyDescent="0.25">
      <c r="B99" t="s">
        <v>131</v>
      </c>
      <c r="C99" s="2" t="s">
        <v>324</v>
      </c>
    </row>
    <row r="100" spans="2:4" x14ac:dyDescent="0.25">
      <c r="B100" t="s">
        <v>132</v>
      </c>
      <c r="C100" s="2" t="s">
        <v>329</v>
      </c>
    </row>
    <row r="101" spans="2:4" ht="16.5" x14ac:dyDescent="0.25">
      <c r="B101" t="s">
        <v>242</v>
      </c>
      <c r="C101" s="11" t="s">
        <v>528</v>
      </c>
      <c r="D101" t="s">
        <v>529</v>
      </c>
    </row>
    <row r="102" spans="2:4" x14ac:dyDescent="0.25">
      <c r="B102" t="s">
        <v>261</v>
      </c>
      <c r="C102" s="2">
        <v>800</v>
      </c>
    </row>
    <row r="103" spans="2:4" x14ac:dyDescent="0.25">
      <c r="B103" t="s">
        <v>264</v>
      </c>
      <c r="C103" s="2" t="s">
        <v>343</v>
      </c>
    </row>
    <row r="104" spans="2:4" x14ac:dyDescent="0.25">
      <c r="B104" t="s">
        <v>266</v>
      </c>
      <c r="C104" s="2">
        <v>850</v>
      </c>
    </row>
    <row r="105" spans="2:4" x14ac:dyDescent="0.25">
      <c r="B105" t="s">
        <v>268</v>
      </c>
      <c r="C105" s="2">
        <v>900</v>
      </c>
    </row>
    <row r="106" spans="2:4" x14ac:dyDescent="0.25">
      <c r="B106" t="s">
        <v>94</v>
      </c>
      <c r="C106" s="2">
        <v>775</v>
      </c>
    </row>
    <row r="107" spans="2:4" x14ac:dyDescent="0.25">
      <c r="B107" t="s">
        <v>275</v>
      </c>
      <c r="C107" s="2">
        <v>750</v>
      </c>
    </row>
    <row r="108" spans="2:4" x14ac:dyDescent="0.25">
      <c r="B108" t="s">
        <v>277</v>
      </c>
      <c r="C108" s="2">
        <v>750</v>
      </c>
    </row>
    <row r="109" spans="2:4" x14ac:dyDescent="0.25">
      <c r="B109" t="s">
        <v>278</v>
      </c>
      <c r="C109" s="2">
        <v>750</v>
      </c>
    </row>
    <row r="110" spans="2:4" x14ac:dyDescent="0.25">
      <c r="B110" t="s">
        <v>197</v>
      </c>
      <c r="C110" s="2">
        <v>700</v>
      </c>
    </row>
    <row r="111" spans="2:4" x14ac:dyDescent="0.25">
      <c r="B111" t="s">
        <v>287</v>
      </c>
      <c r="C111" s="2">
        <v>900</v>
      </c>
    </row>
    <row r="112" spans="2:4" ht="16.5" x14ac:dyDescent="0.25">
      <c r="B112" s="1" t="s">
        <v>345</v>
      </c>
      <c r="C112" s="2">
        <v>700</v>
      </c>
    </row>
    <row r="113" spans="2:4" ht="16.5" x14ac:dyDescent="0.25">
      <c r="B113" s="1" t="s">
        <v>346</v>
      </c>
      <c r="C113" s="2">
        <v>700</v>
      </c>
    </row>
    <row r="114" spans="2:4" ht="16.5" x14ac:dyDescent="0.25">
      <c r="B114" s="1" t="s">
        <v>347</v>
      </c>
      <c r="C114" s="2">
        <v>700</v>
      </c>
    </row>
    <row r="115" spans="2:4" ht="16.5" x14ac:dyDescent="0.25">
      <c r="B115" s="1" t="s">
        <v>348</v>
      </c>
      <c r="C115" s="2">
        <v>700</v>
      </c>
    </row>
    <row r="116" spans="2:4" ht="16.5" x14ac:dyDescent="0.25">
      <c r="B116" s="1" t="s">
        <v>349</v>
      </c>
      <c r="C116" s="5" t="s">
        <v>350</v>
      </c>
    </row>
    <row r="117" spans="2:4" ht="16.5" x14ac:dyDescent="0.25">
      <c r="B117" s="1" t="s">
        <v>351</v>
      </c>
      <c r="C117" s="2">
        <v>750</v>
      </c>
    </row>
    <row r="118" spans="2:4" ht="16.5" x14ac:dyDescent="0.25">
      <c r="B118" s="1" t="s">
        <v>352</v>
      </c>
      <c r="C118" s="2">
        <v>750</v>
      </c>
    </row>
    <row r="119" spans="2:4" ht="16.5" x14ac:dyDescent="0.25">
      <c r="B119" s="1" t="s">
        <v>353</v>
      </c>
      <c r="C119" s="5" t="s">
        <v>354</v>
      </c>
    </row>
    <row r="120" spans="2:4" ht="16.5" x14ac:dyDescent="0.25">
      <c r="B120" s="1" t="s">
        <v>355</v>
      </c>
      <c r="C120" s="5" t="s">
        <v>354</v>
      </c>
    </row>
    <row r="121" spans="2:4" ht="16.5" x14ac:dyDescent="0.25">
      <c r="B121" s="1" t="s">
        <v>356</v>
      </c>
      <c r="C121" s="2">
        <v>700</v>
      </c>
    </row>
    <row r="122" spans="2:4" ht="16.5" x14ac:dyDescent="0.25">
      <c r="B122" s="1" t="s">
        <v>357</v>
      </c>
      <c r="C122" s="2">
        <v>700</v>
      </c>
    </row>
    <row r="123" spans="2:4" ht="16.5" x14ac:dyDescent="0.25">
      <c r="B123" s="1" t="s">
        <v>358</v>
      </c>
      <c r="C123" s="2">
        <v>765</v>
      </c>
    </row>
    <row r="124" spans="2:4" ht="16.5" x14ac:dyDescent="0.25">
      <c r="B124" s="1" t="s">
        <v>359</v>
      </c>
      <c r="C124" s="5" t="s">
        <v>350</v>
      </c>
      <c r="D124" t="s">
        <v>360</v>
      </c>
    </row>
    <row r="125" spans="2:4" ht="16.5" x14ac:dyDescent="0.25">
      <c r="B125" s="1" t="s">
        <v>361</v>
      </c>
      <c r="C125" s="5" t="s">
        <v>354</v>
      </c>
    </row>
    <row r="126" spans="2:4" ht="16.5" x14ac:dyDescent="0.25">
      <c r="B126" s="6" t="s">
        <v>362</v>
      </c>
      <c r="C126" s="5" t="s">
        <v>354</v>
      </c>
    </row>
    <row r="127" spans="2:4" ht="16.5" x14ac:dyDescent="0.25">
      <c r="B127" s="7" t="s">
        <v>363</v>
      </c>
      <c r="C127" s="5" t="s">
        <v>354</v>
      </c>
    </row>
    <row r="128" spans="2:4" ht="16.5" x14ac:dyDescent="0.25">
      <c r="B128" s="7" t="s">
        <v>364</v>
      </c>
      <c r="C128" s="5" t="s">
        <v>354</v>
      </c>
    </row>
    <row r="129" spans="2:3" ht="16.5" x14ac:dyDescent="0.25">
      <c r="B129" s="7" t="s">
        <v>365</v>
      </c>
      <c r="C129" s="5" t="s">
        <v>354</v>
      </c>
    </row>
    <row r="130" spans="2:3" ht="16.5" x14ac:dyDescent="0.25">
      <c r="B130" s="7" t="s">
        <v>32</v>
      </c>
      <c r="C130" s="5" t="s">
        <v>354</v>
      </c>
    </row>
    <row r="131" spans="2:3" ht="16.5" x14ac:dyDescent="0.25">
      <c r="B131" s="7" t="s">
        <v>366</v>
      </c>
      <c r="C131" s="5" t="s">
        <v>354</v>
      </c>
    </row>
    <row r="132" spans="2:3" ht="16.5" x14ac:dyDescent="0.25">
      <c r="B132" s="7" t="s">
        <v>367</v>
      </c>
      <c r="C132" s="5" t="s">
        <v>354</v>
      </c>
    </row>
    <row r="133" spans="2:3" ht="16.5" x14ac:dyDescent="0.25">
      <c r="B133" s="7" t="s">
        <v>368</v>
      </c>
      <c r="C133" s="5" t="s">
        <v>354</v>
      </c>
    </row>
    <row r="134" spans="2:3" ht="16.5" x14ac:dyDescent="0.25">
      <c r="B134" s="7" t="s">
        <v>369</v>
      </c>
      <c r="C134" s="5" t="s">
        <v>354</v>
      </c>
    </row>
    <row r="135" spans="2:3" ht="16.5" x14ac:dyDescent="0.25">
      <c r="B135" s="7" t="s">
        <v>370</v>
      </c>
      <c r="C135" s="5" t="s">
        <v>354</v>
      </c>
    </row>
    <row r="136" spans="2:3" ht="16.5" x14ac:dyDescent="0.25">
      <c r="B136" s="7" t="s">
        <v>371</v>
      </c>
      <c r="C136" s="5" t="s">
        <v>354</v>
      </c>
    </row>
    <row r="137" spans="2:3" ht="16.5" x14ac:dyDescent="0.25">
      <c r="B137" s="7" t="s">
        <v>372</v>
      </c>
      <c r="C137" s="5" t="s">
        <v>354</v>
      </c>
    </row>
    <row r="138" spans="2:3" ht="16.5" x14ac:dyDescent="0.25">
      <c r="B138" s="7" t="s">
        <v>373</v>
      </c>
      <c r="C138" s="5" t="s">
        <v>354</v>
      </c>
    </row>
    <row r="139" spans="2:3" ht="16.5" x14ac:dyDescent="0.25">
      <c r="B139" s="7" t="s">
        <v>374</v>
      </c>
      <c r="C139" s="5" t="s">
        <v>354</v>
      </c>
    </row>
    <row r="140" spans="2:3" ht="16.5" x14ac:dyDescent="0.25">
      <c r="B140" s="7" t="s">
        <v>375</v>
      </c>
      <c r="C140" s="5" t="s">
        <v>354</v>
      </c>
    </row>
    <row r="141" spans="2:3" ht="16.5" x14ac:dyDescent="0.25">
      <c r="B141" s="7" t="s">
        <v>376</v>
      </c>
      <c r="C141" s="5" t="s">
        <v>354</v>
      </c>
    </row>
    <row r="142" spans="2:3" ht="16.5" x14ac:dyDescent="0.25">
      <c r="B142" s="7" t="s">
        <v>377</v>
      </c>
      <c r="C142" s="5" t="s">
        <v>354</v>
      </c>
    </row>
    <row r="143" spans="2:3" ht="16.5" x14ac:dyDescent="0.25">
      <c r="B143" s="7" t="s">
        <v>378</v>
      </c>
      <c r="C143" s="5" t="s">
        <v>354</v>
      </c>
    </row>
    <row r="144" spans="2:3" ht="16.5" x14ac:dyDescent="0.25">
      <c r="B144" s="7" t="s">
        <v>379</v>
      </c>
      <c r="C144" s="5" t="s">
        <v>354</v>
      </c>
    </row>
    <row r="145" spans="2:3" ht="16.5" x14ac:dyDescent="0.25">
      <c r="B145" s="7" t="s">
        <v>277</v>
      </c>
      <c r="C145" s="5" t="s">
        <v>354</v>
      </c>
    </row>
    <row r="146" spans="2:3" ht="16.5" x14ac:dyDescent="0.25">
      <c r="B146" s="7" t="s">
        <v>380</v>
      </c>
      <c r="C146" s="5" t="s">
        <v>354</v>
      </c>
    </row>
    <row r="147" spans="2:3" ht="16.5" x14ac:dyDescent="0.25">
      <c r="B147" s="7" t="s">
        <v>381</v>
      </c>
      <c r="C147" s="5" t="s">
        <v>354</v>
      </c>
    </row>
    <row r="148" spans="2:3" ht="16.5" x14ac:dyDescent="0.25">
      <c r="B148" s="7" t="s">
        <v>382</v>
      </c>
      <c r="C148" s="5" t="s">
        <v>354</v>
      </c>
    </row>
    <row r="149" spans="2:3" ht="16.5" x14ac:dyDescent="0.25">
      <c r="B149" s="7" t="s">
        <v>383</v>
      </c>
      <c r="C149" s="5" t="s">
        <v>354</v>
      </c>
    </row>
    <row r="150" spans="2:3" ht="16.5" x14ac:dyDescent="0.25">
      <c r="B150" s="7" t="s">
        <v>384</v>
      </c>
      <c r="C150" s="5" t="s">
        <v>354</v>
      </c>
    </row>
    <row r="151" spans="2:3" ht="16.5" x14ac:dyDescent="0.25">
      <c r="B151" s="7" t="s">
        <v>385</v>
      </c>
      <c r="C151" s="5" t="s">
        <v>354</v>
      </c>
    </row>
    <row r="152" spans="2:3" ht="16.5" x14ac:dyDescent="0.25">
      <c r="B152" s="7" t="s">
        <v>386</v>
      </c>
      <c r="C152" s="5" t="s">
        <v>354</v>
      </c>
    </row>
    <row r="153" spans="2:3" ht="16.5" x14ac:dyDescent="0.25">
      <c r="B153" s="7" t="s">
        <v>387</v>
      </c>
      <c r="C153" s="5" t="s">
        <v>354</v>
      </c>
    </row>
    <row r="154" spans="2:3" ht="16.5" x14ac:dyDescent="0.25">
      <c r="B154" s="7" t="s">
        <v>388</v>
      </c>
      <c r="C154" s="5" t="s">
        <v>354</v>
      </c>
    </row>
    <row r="155" spans="2:3" ht="16.5" x14ac:dyDescent="0.25">
      <c r="B155" s="7" t="s">
        <v>261</v>
      </c>
      <c r="C155" s="5" t="s">
        <v>354</v>
      </c>
    </row>
    <row r="156" spans="2:3" ht="16.5" x14ac:dyDescent="0.25">
      <c r="B156" s="7" t="s">
        <v>389</v>
      </c>
      <c r="C156" s="5" t="s">
        <v>354</v>
      </c>
    </row>
    <row r="157" spans="2:3" ht="16.5" x14ac:dyDescent="0.25">
      <c r="B157" s="7" t="s">
        <v>390</v>
      </c>
      <c r="C157" s="5" t="s">
        <v>354</v>
      </c>
    </row>
    <row r="158" spans="2:3" ht="16.5" x14ac:dyDescent="0.25">
      <c r="B158" s="7" t="s">
        <v>391</v>
      </c>
      <c r="C158" s="5" t="s">
        <v>354</v>
      </c>
    </row>
    <row r="159" spans="2:3" ht="16.5" x14ac:dyDescent="0.25">
      <c r="B159" s="7" t="s">
        <v>392</v>
      </c>
      <c r="C159" s="5" t="s">
        <v>354</v>
      </c>
    </row>
    <row r="160" spans="2:3" ht="16.5" x14ac:dyDescent="0.25">
      <c r="B160" s="7" t="s">
        <v>393</v>
      </c>
      <c r="C160" s="5" t="s">
        <v>354</v>
      </c>
    </row>
    <row r="161" spans="2:3" ht="16.5" x14ac:dyDescent="0.25">
      <c r="B161" s="7" t="s">
        <v>394</v>
      </c>
      <c r="C161" s="5" t="s">
        <v>354</v>
      </c>
    </row>
    <row r="162" spans="2:3" ht="16.5" x14ac:dyDescent="0.25">
      <c r="B162" s="7" t="s">
        <v>395</v>
      </c>
      <c r="C162" s="5" t="s">
        <v>354</v>
      </c>
    </row>
    <row r="163" spans="2:3" ht="16.5" x14ac:dyDescent="0.25">
      <c r="B163" s="7" t="s">
        <v>396</v>
      </c>
      <c r="C163" s="5" t="s">
        <v>354</v>
      </c>
    </row>
    <row r="164" spans="2:3" ht="16.5" x14ac:dyDescent="0.25">
      <c r="B164" s="7" t="s">
        <v>397</v>
      </c>
      <c r="C164" s="5" t="s">
        <v>354</v>
      </c>
    </row>
    <row r="165" spans="2:3" ht="16.5" x14ac:dyDescent="0.25">
      <c r="B165" s="7" t="s">
        <v>398</v>
      </c>
      <c r="C165" s="5" t="s">
        <v>354</v>
      </c>
    </row>
    <row r="166" spans="2:3" ht="16.5" x14ac:dyDescent="0.25">
      <c r="B166" s="7" t="s">
        <v>399</v>
      </c>
      <c r="C166" s="5" t="s">
        <v>354</v>
      </c>
    </row>
    <row r="167" spans="2:3" ht="16.5" x14ac:dyDescent="0.25">
      <c r="B167" s="7" t="s">
        <v>400</v>
      </c>
      <c r="C167" s="5" t="s">
        <v>354</v>
      </c>
    </row>
    <row r="168" spans="2:3" ht="16.5" x14ac:dyDescent="0.25">
      <c r="B168" s="7" t="s">
        <v>401</v>
      </c>
      <c r="C168" s="5" t="s">
        <v>354</v>
      </c>
    </row>
    <row r="169" spans="2:3" ht="16.5" x14ac:dyDescent="0.25">
      <c r="B169" s="7" t="s">
        <v>402</v>
      </c>
      <c r="C169" s="5" t="s">
        <v>354</v>
      </c>
    </row>
    <row r="170" spans="2:3" ht="16.5" x14ac:dyDescent="0.25">
      <c r="B170" s="7" t="s">
        <v>403</v>
      </c>
      <c r="C170" s="5" t="s">
        <v>354</v>
      </c>
    </row>
    <row r="171" spans="2:3" ht="16.5" x14ac:dyDescent="0.25">
      <c r="B171" s="7" t="s">
        <v>75</v>
      </c>
      <c r="C171" s="5" t="s">
        <v>354</v>
      </c>
    </row>
    <row r="172" spans="2:3" ht="16.5" x14ac:dyDescent="0.25">
      <c r="B172" s="7" t="s">
        <v>404</v>
      </c>
      <c r="C172" s="5" t="s">
        <v>354</v>
      </c>
    </row>
    <row r="173" spans="2:3" ht="16.5" x14ac:dyDescent="0.25">
      <c r="B173" s="7" t="s">
        <v>405</v>
      </c>
      <c r="C173" s="5" t="s">
        <v>354</v>
      </c>
    </row>
    <row r="174" spans="2:3" ht="16.5" x14ac:dyDescent="0.25">
      <c r="B174" s="8" t="s">
        <v>406</v>
      </c>
      <c r="C174" s="5" t="s">
        <v>354</v>
      </c>
    </row>
    <row r="175" spans="2:3" ht="16.5" x14ac:dyDescent="0.25">
      <c r="B175" s="8" t="s">
        <v>407</v>
      </c>
      <c r="C175" s="5" t="s">
        <v>354</v>
      </c>
    </row>
    <row r="176" spans="2:3" ht="16.5" x14ac:dyDescent="0.25">
      <c r="B176" s="7" t="s">
        <v>408</v>
      </c>
      <c r="C176" s="5" t="s">
        <v>354</v>
      </c>
    </row>
    <row r="177" spans="2:3" ht="16.5" x14ac:dyDescent="0.25">
      <c r="B177" s="9" t="s">
        <v>409</v>
      </c>
      <c r="C177" s="5" t="s">
        <v>354</v>
      </c>
    </row>
    <row r="178" spans="2:3" ht="16.5" x14ac:dyDescent="0.25">
      <c r="B178" s="7" t="s">
        <v>410</v>
      </c>
      <c r="C178" s="5" t="s">
        <v>354</v>
      </c>
    </row>
    <row r="179" spans="2:3" ht="16.5" x14ac:dyDescent="0.25">
      <c r="B179" s="7" t="s">
        <v>411</v>
      </c>
      <c r="C179" s="5" t="s">
        <v>354</v>
      </c>
    </row>
    <row r="180" spans="2:3" ht="16.5" x14ac:dyDescent="0.25">
      <c r="B180" s="7" t="s">
        <v>412</v>
      </c>
      <c r="C180" s="5" t="s">
        <v>354</v>
      </c>
    </row>
    <row r="181" spans="2:3" ht="16.5" x14ac:dyDescent="0.25">
      <c r="B181" s="7" t="s">
        <v>3</v>
      </c>
      <c r="C181" s="5" t="s">
        <v>354</v>
      </c>
    </row>
    <row r="182" spans="2:3" ht="16.5" x14ac:dyDescent="0.25">
      <c r="B182" s="7" t="s">
        <v>413</v>
      </c>
      <c r="C182" s="5" t="s">
        <v>354</v>
      </c>
    </row>
    <row r="183" spans="2:3" ht="16.5" x14ac:dyDescent="0.25">
      <c r="B183" s="7" t="s">
        <v>414</v>
      </c>
      <c r="C183" s="5" t="s">
        <v>354</v>
      </c>
    </row>
    <row r="184" spans="2:3" ht="16.5" x14ac:dyDescent="0.25">
      <c r="B184" s="7" t="s">
        <v>415</v>
      </c>
      <c r="C184" s="5" t="s">
        <v>354</v>
      </c>
    </row>
    <row r="185" spans="2:3" ht="16.5" x14ac:dyDescent="0.25">
      <c r="B185" s="7" t="s">
        <v>416</v>
      </c>
      <c r="C185" s="5" t="s">
        <v>354</v>
      </c>
    </row>
    <row r="186" spans="2:3" ht="16.5" x14ac:dyDescent="0.25">
      <c r="B186" s="7" t="s">
        <v>417</v>
      </c>
      <c r="C186" s="5" t="s">
        <v>354</v>
      </c>
    </row>
    <row r="187" spans="2:3" ht="16.5" x14ac:dyDescent="0.25">
      <c r="B187" s="7" t="s">
        <v>418</v>
      </c>
      <c r="C187" s="5" t="s">
        <v>354</v>
      </c>
    </row>
    <row r="188" spans="2:3" ht="16.5" x14ac:dyDescent="0.25">
      <c r="B188" s="7" t="s">
        <v>419</v>
      </c>
      <c r="C188" s="5" t="s">
        <v>354</v>
      </c>
    </row>
    <row r="189" spans="2:3" ht="16.5" x14ac:dyDescent="0.25">
      <c r="B189" s="7" t="s">
        <v>18</v>
      </c>
      <c r="C189" s="5" t="s">
        <v>354</v>
      </c>
    </row>
    <row r="190" spans="2:3" ht="16.5" x14ac:dyDescent="0.25">
      <c r="B190" s="7" t="s">
        <v>420</v>
      </c>
      <c r="C190" s="5" t="s">
        <v>354</v>
      </c>
    </row>
    <row r="191" spans="2:3" ht="16.5" x14ac:dyDescent="0.25">
      <c r="B191" s="7" t="s">
        <v>421</v>
      </c>
      <c r="C191" s="5" t="s">
        <v>354</v>
      </c>
    </row>
    <row r="192" spans="2:3" ht="16.5" x14ac:dyDescent="0.25">
      <c r="B192" s="7" t="s">
        <v>422</v>
      </c>
      <c r="C192" s="5" t="s">
        <v>354</v>
      </c>
    </row>
    <row r="193" spans="2:3" ht="16.5" x14ac:dyDescent="0.25">
      <c r="B193" s="7" t="s">
        <v>423</v>
      </c>
      <c r="C193" s="5" t="s">
        <v>354</v>
      </c>
    </row>
    <row r="194" spans="2:3" ht="16.5" x14ac:dyDescent="0.25">
      <c r="B194" s="7" t="s">
        <v>424</v>
      </c>
      <c r="C194" s="5" t="s">
        <v>354</v>
      </c>
    </row>
    <row r="195" spans="2:3" ht="16.5" x14ac:dyDescent="0.25">
      <c r="B195" s="7" t="s">
        <v>30</v>
      </c>
      <c r="C195" s="5" t="s">
        <v>354</v>
      </c>
    </row>
    <row r="196" spans="2:3" ht="16.5" x14ac:dyDescent="0.25">
      <c r="B196" s="7" t="s">
        <v>425</v>
      </c>
      <c r="C196" s="5" t="s">
        <v>354</v>
      </c>
    </row>
    <row r="197" spans="2:3" ht="16.5" x14ac:dyDescent="0.25">
      <c r="B197" s="7" t="s">
        <v>426</v>
      </c>
      <c r="C197" s="5" t="s">
        <v>354</v>
      </c>
    </row>
    <row r="198" spans="2:3" ht="16.5" x14ac:dyDescent="0.25">
      <c r="B198" s="7" t="s">
        <v>427</v>
      </c>
      <c r="C198" s="5" t="s">
        <v>354</v>
      </c>
    </row>
    <row r="199" spans="2:3" ht="16.5" x14ac:dyDescent="0.25">
      <c r="B199" s="7" t="s">
        <v>428</v>
      </c>
      <c r="C199" s="5" t="s">
        <v>354</v>
      </c>
    </row>
    <row r="200" spans="2:3" ht="16.5" x14ac:dyDescent="0.25">
      <c r="B200" s="7" t="s">
        <v>429</v>
      </c>
      <c r="C200" s="5" t="s">
        <v>354</v>
      </c>
    </row>
    <row r="201" spans="2:3" ht="16.5" x14ac:dyDescent="0.25">
      <c r="B201" s="7" t="s">
        <v>430</v>
      </c>
      <c r="C201" s="5" t="s">
        <v>354</v>
      </c>
    </row>
    <row r="202" spans="2:3" ht="16.5" x14ac:dyDescent="0.25">
      <c r="B202" s="7" t="s">
        <v>431</v>
      </c>
      <c r="C202" s="5" t="s">
        <v>354</v>
      </c>
    </row>
    <row r="203" spans="2:3" ht="16.5" x14ac:dyDescent="0.25">
      <c r="B203" s="7" t="s">
        <v>432</v>
      </c>
      <c r="C203" s="5" t="s">
        <v>354</v>
      </c>
    </row>
    <row r="204" spans="2:3" ht="16.5" x14ac:dyDescent="0.25">
      <c r="B204" s="7" t="s">
        <v>433</v>
      </c>
      <c r="C204" s="5" t="s">
        <v>354</v>
      </c>
    </row>
    <row r="205" spans="2:3" ht="16.5" x14ac:dyDescent="0.25">
      <c r="B205" s="7" t="s">
        <v>434</v>
      </c>
      <c r="C205" s="5" t="s">
        <v>354</v>
      </c>
    </row>
    <row r="206" spans="2:3" ht="16.5" x14ac:dyDescent="0.25">
      <c r="B206" s="7" t="s">
        <v>435</v>
      </c>
      <c r="C206" s="5" t="s">
        <v>354</v>
      </c>
    </row>
    <row r="207" spans="2:3" ht="16.5" x14ac:dyDescent="0.25">
      <c r="B207" s="7" t="s">
        <v>436</v>
      </c>
      <c r="C207" s="5" t="s">
        <v>354</v>
      </c>
    </row>
    <row r="208" spans="2:3" ht="16.5" x14ac:dyDescent="0.25">
      <c r="B208" s="7" t="s">
        <v>437</v>
      </c>
      <c r="C208" s="5" t="s">
        <v>354</v>
      </c>
    </row>
    <row r="209" spans="2:3" ht="16.5" x14ac:dyDescent="0.25">
      <c r="B209" s="7" t="s">
        <v>438</v>
      </c>
      <c r="C209" s="5" t="s">
        <v>354</v>
      </c>
    </row>
    <row r="210" spans="2:3" ht="16.5" x14ac:dyDescent="0.25">
      <c r="B210" s="7" t="s">
        <v>439</v>
      </c>
      <c r="C210" s="5" t="s">
        <v>354</v>
      </c>
    </row>
    <row r="211" spans="2:3" ht="16.5" x14ac:dyDescent="0.25">
      <c r="B211" s="7" t="s">
        <v>440</v>
      </c>
      <c r="C211" s="5" t="s">
        <v>354</v>
      </c>
    </row>
    <row r="212" spans="2:3" ht="16.5" x14ac:dyDescent="0.25">
      <c r="B212" s="7" t="s">
        <v>441</v>
      </c>
      <c r="C212" s="5" t="s">
        <v>354</v>
      </c>
    </row>
    <row r="213" spans="2:3" ht="16.5" x14ac:dyDescent="0.25">
      <c r="B213" s="7" t="s">
        <v>442</v>
      </c>
      <c r="C213" s="5" t="s">
        <v>354</v>
      </c>
    </row>
    <row r="214" spans="2:3" ht="16.5" x14ac:dyDescent="0.25">
      <c r="B214" s="7" t="s">
        <v>443</v>
      </c>
      <c r="C214" s="5" t="s">
        <v>354</v>
      </c>
    </row>
    <row r="215" spans="2:3" ht="16.5" x14ac:dyDescent="0.25">
      <c r="B215" s="7" t="s">
        <v>444</v>
      </c>
      <c r="C215" s="5" t="s">
        <v>354</v>
      </c>
    </row>
    <row r="216" spans="2:3" ht="16.5" x14ac:dyDescent="0.25">
      <c r="B216" s="7" t="s">
        <v>445</v>
      </c>
      <c r="C216" s="5" t="s">
        <v>354</v>
      </c>
    </row>
    <row r="217" spans="2:3" ht="16.5" x14ac:dyDescent="0.25">
      <c r="B217" s="10" t="s">
        <v>446</v>
      </c>
      <c r="C217" s="5" t="s">
        <v>354</v>
      </c>
    </row>
    <row r="218" spans="2:3" ht="16.5" x14ac:dyDescent="0.25">
      <c r="B218" s="7" t="s">
        <v>447</v>
      </c>
      <c r="C218" s="5" t="s">
        <v>354</v>
      </c>
    </row>
    <row r="219" spans="2:3" ht="16.5" x14ac:dyDescent="0.25">
      <c r="B219" s="7" t="s">
        <v>448</v>
      </c>
      <c r="C219" s="5" t="s">
        <v>354</v>
      </c>
    </row>
    <row r="220" spans="2:3" ht="16.5" x14ac:dyDescent="0.25">
      <c r="B220" s="7" t="s">
        <v>449</v>
      </c>
      <c r="C220" s="5" t="s">
        <v>354</v>
      </c>
    </row>
    <row r="221" spans="2:3" ht="16.5" x14ac:dyDescent="0.25">
      <c r="B221" s="10" t="s">
        <v>450</v>
      </c>
      <c r="C221" s="5" t="s">
        <v>354</v>
      </c>
    </row>
    <row r="222" spans="2:3" ht="16.5" x14ac:dyDescent="0.25">
      <c r="B222" s="7" t="s">
        <v>451</v>
      </c>
      <c r="C222" s="5" t="s">
        <v>354</v>
      </c>
    </row>
    <row r="223" spans="2:3" ht="16.5" x14ac:dyDescent="0.25">
      <c r="B223" s="7" t="s">
        <v>452</v>
      </c>
      <c r="C223" s="5" t="s">
        <v>354</v>
      </c>
    </row>
    <row r="224" spans="2:3" ht="16.5" x14ac:dyDescent="0.25">
      <c r="B224" s="7" t="s">
        <v>453</v>
      </c>
      <c r="C224" s="5" t="s">
        <v>354</v>
      </c>
    </row>
    <row r="225" spans="2:3" ht="16.5" x14ac:dyDescent="0.25">
      <c r="B225" s="7" t="s">
        <v>454</v>
      </c>
      <c r="C225" s="5" t="s">
        <v>354</v>
      </c>
    </row>
    <row r="226" spans="2:3" ht="16.5" x14ac:dyDescent="0.25">
      <c r="B226" s="7" t="s">
        <v>455</v>
      </c>
      <c r="C226" s="5" t="s">
        <v>354</v>
      </c>
    </row>
    <row r="227" spans="2:3" ht="16.5" x14ac:dyDescent="0.25">
      <c r="B227" s="7" t="s">
        <v>456</v>
      </c>
      <c r="C227" s="5" t="s">
        <v>354</v>
      </c>
    </row>
    <row r="228" spans="2:3" ht="16.5" x14ac:dyDescent="0.25">
      <c r="B228" s="7" t="s">
        <v>457</v>
      </c>
      <c r="C228" s="5" t="s">
        <v>354</v>
      </c>
    </row>
    <row r="229" spans="2:3" ht="16.5" x14ac:dyDescent="0.25">
      <c r="B229" s="7" t="s">
        <v>458</v>
      </c>
      <c r="C229" s="5" t="s">
        <v>354</v>
      </c>
    </row>
    <row r="230" spans="2:3" ht="16.5" x14ac:dyDescent="0.25">
      <c r="B230" s="7" t="s">
        <v>459</v>
      </c>
      <c r="C230" s="5" t="s">
        <v>354</v>
      </c>
    </row>
    <row r="231" spans="2:3" ht="16.5" x14ac:dyDescent="0.25">
      <c r="B231" s="7" t="s">
        <v>460</v>
      </c>
      <c r="C231" s="5" t="s">
        <v>354</v>
      </c>
    </row>
    <row r="232" spans="2:3" ht="16.5" x14ac:dyDescent="0.25">
      <c r="B232" s="7" t="s">
        <v>461</v>
      </c>
      <c r="C232" s="5" t="s">
        <v>354</v>
      </c>
    </row>
    <row r="233" spans="2:3" ht="16.5" x14ac:dyDescent="0.25">
      <c r="B233" s="7" t="s">
        <v>462</v>
      </c>
      <c r="C233" s="5" t="s">
        <v>354</v>
      </c>
    </row>
    <row r="234" spans="2:3" ht="16.5" x14ac:dyDescent="0.25">
      <c r="B234" s="7" t="s">
        <v>463</v>
      </c>
      <c r="C234" s="5" t="s">
        <v>354</v>
      </c>
    </row>
    <row r="235" spans="2:3" ht="16.5" x14ac:dyDescent="0.25">
      <c r="B235" s="7" t="s">
        <v>464</v>
      </c>
      <c r="C235" s="5" t="s">
        <v>354</v>
      </c>
    </row>
    <row r="236" spans="2:3" ht="16.5" x14ac:dyDescent="0.25">
      <c r="B236" s="7" t="s">
        <v>465</v>
      </c>
      <c r="C236" s="5" t="s">
        <v>354</v>
      </c>
    </row>
    <row r="237" spans="2:3" ht="16.5" x14ac:dyDescent="0.25">
      <c r="B237" s="7" t="s">
        <v>466</v>
      </c>
      <c r="C237" s="5" t="s">
        <v>354</v>
      </c>
    </row>
    <row r="238" spans="2:3" ht="16.5" x14ac:dyDescent="0.25">
      <c r="B238" s="7" t="s">
        <v>467</v>
      </c>
      <c r="C238" s="5" t="s">
        <v>354</v>
      </c>
    </row>
    <row r="239" spans="2:3" ht="16.5" x14ac:dyDescent="0.25">
      <c r="B239" s="7" t="s">
        <v>468</v>
      </c>
      <c r="C239" s="5" t="s">
        <v>354</v>
      </c>
    </row>
    <row r="240" spans="2:3" ht="16.5" x14ac:dyDescent="0.25">
      <c r="B240" s="7" t="s">
        <v>469</v>
      </c>
      <c r="C240" s="5" t="s">
        <v>354</v>
      </c>
    </row>
    <row r="241" spans="2:3" ht="16.5" x14ac:dyDescent="0.25">
      <c r="B241" s="7" t="s">
        <v>470</v>
      </c>
      <c r="C241" s="5" t="s">
        <v>354</v>
      </c>
    </row>
    <row r="242" spans="2:3" ht="16.5" x14ac:dyDescent="0.25">
      <c r="B242" s="7" t="s">
        <v>471</v>
      </c>
      <c r="C242" s="5" t="s">
        <v>354</v>
      </c>
    </row>
    <row r="243" spans="2:3" ht="16.5" x14ac:dyDescent="0.25">
      <c r="B243" s="7" t="s">
        <v>472</v>
      </c>
      <c r="C243" s="5" t="s">
        <v>354</v>
      </c>
    </row>
    <row r="244" spans="2:3" ht="16.5" x14ac:dyDescent="0.25">
      <c r="B244" s="7" t="s">
        <v>473</v>
      </c>
      <c r="C244" s="5" t="s">
        <v>354</v>
      </c>
    </row>
    <row r="245" spans="2:3" ht="16.5" x14ac:dyDescent="0.25">
      <c r="B245" s="7" t="s">
        <v>474</v>
      </c>
      <c r="C245" s="5" t="s">
        <v>354</v>
      </c>
    </row>
    <row r="246" spans="2:3" ht="16.5" x14ac:dyDescent="0.25">
      <c r="B246" s="7" t="s">
        <v>475</v>
      </c>
      <c r="C246" s="5" t="s">
        <v>354</v>
      </c>
    </row>
    <row r="247" spans="2:3" ht="16.5" x14ac:dyDescent="0.25">
      <c r="B247" s="7" t="s">
        <v>476</v>
      </c>
      <c r="C247" s="5" t="s">
        <v>354</v>
      </c>
    </row>
    <row r="248" spans="2:3" ht="16.5" x14ac:dyDescent="0.25">
      <c r="B248" s="7" t="s">
        <v>477</v>
      </c>
      <c r="C248" s="5" t="s">
        <v>354</v>
      </c>
    </row>
    <row r="249" spans="2:3" ht="16.5" x14ac:dyDescent="0.25">
      <c r="B249" s="7" t="s">
        <v>478</v>
      </c>
      <c r="C249" s="5" t="s">
        <v>354</v>
      </c>
    </row>
    <row r="250" spans="2:3" ht="16.5" x14ac:dyDescent="0.25">
      <c r="B250" s="7" t="s">
        <v>479</v>
      </c>
      <c r="C250" s="5" t="s">
        <v>354</v>
      </c>
    </row>
    <row r="251" spans="2:3" ht="16.5" x14ac:dyDescent="0.25">
      <c r="B251" s="7" t="s">
        <v>480</v>
      </c>
      <c r="C251" s="5" t="s">
        <v>354</v>
      </c>
    </row>
    <row r="252" spans="2:3" ht="16.5" x14ac:dyDescent="0.25">
      <c r="B252" s="7" t="s">
        <v>481</v>
      </c>
      <c r="C252" s="5" t="s">
        <v>354</v>
      </c>
    </row>
    <row r="253" spans="2:3" ht="16.5" x14ac:dyDescent="0.25">
      <c r="B253" s="7" t="s">
        <v>482</v>
      </c>
      <c r="C253" s="5" t="s">
        <v>354</v>
      </c>
    </row>
    <row r="254" spans="2:3" ht="16.5" x14ac:dyDescent="0.25">
      <c r="B254" s="7" t="s">
        <v>483</v>
      </c>
      <c r="C254" s="5" t="s">
        <v>354</v>
      </c>
    </row>
    <row r="255" spans="2:3" ht="16.5" x14ac:dyDescent="0.25">
      <c r="B255" s="7" t="s">
        <v>484</v>
      </c>
      <c r="C255" s="5" t="s">
        <v>354</v>
      </c>
    </row>
    <row r="256" spans="2:3" ht="16.5" x14ac:dyDescent="0.25">
      <c r="B256" s="7" t="s">
        <v>485</v>
      </c>
      <c r="C256" s="5" t="s">
        <v>354</v>
      </c>
    </row>
    <row r="257" spans="2:3" ht="16.5" x14ac:dyDescent="0.25">
      <c r="B257" s="7" t="s">
        <v>486</v>
      </c>
      <c r="C257" s="5" t="s">
        <v>354</v>
      </c>
    </row>
    <row r="258" spans="2:3" ht="16.5" x14ac:dyDescent="0.25">
      <c r="B258" s="7" t="s">
        <v>487</v>
      </c>
      <c r="C258" s="5" t="s">
        <v>354</v>
      </c>
    </row>
    <row r="259" spans="2:3" ht="16.5" x14ac:dyDescent="0.25">
      <c r="B259" s="7" t="s">
        <v>488</v>
      </c>
      <c r="C259" s="5" t="s">
        <v>354</v>
      </c>
    </row>
    <row r="260" spans="2:3" ht="16.5" x14ac:dyDescent="0.25">
      <c r="B260" s="7" t="s">
        <v>489</v>
      </c>
      <c r="C260" s="5" t="s">
        <v>354</v>
      </c>
    </row>
    <row r="261" spans="2:3" ht="16.5" x14ac:dyDescent="0.25">
      <c r="B261" s="7" t="s">
        <v>490</v>
      </c>
      <c r="C261" s="5" t="s">
        <v>354</v>
      </c>
    </row>
    <row r="262" spans="2:3" ht="16.5" x14ac:dyDescent="0.25">
      <c r="B262" s="7" t="s">
        <v>491</v>
      </c>
      <c r="C262" s="5" t="s">
        <v>354</v>
      </c>
    </row>
    <row r="263" spans="2:3" ht="16.5" x14ac:dyDescent="0.25">
      <c r="B263" s="7" t="s">
        <v>492</v>
      </c>
      <c r="C263" s="5" t="s">
        <v>354</v>
      </c>
    </row>
    <row r="264" spans="2:3" ht="16.5" x14ac:dyDescent="0.25">
      <c r="B264" s="7" t="s">
        <v>493</v>
      </c>
      <c r="C264" s="5" t="s">
        <v>354</v>
      </c>
    </row>
    <row r="265" spans="2:3" ht="16.5" x14ac:dyDescent="0.25">
      <c r="B265" s="7" t="s">
        <v>494</v>
      </c>
      <c r="C265" s="5" t="s">
        <v>354</v>
      </c>
    </row>
    <row r="266" spans="2:3" ht="16.5" x14ac:dyDescent="0.25">
      <c r="B266" s="7" t="s">
        <v>495</v>
      </c>
      <c r="C266" s="5" t="s">
        <v>354</v>
      </c>
    </row>
    <row r="267" spans="2:3" ht="16.5" x14ac:dyDescent="0.25">
      <c r="B267" s="7" t="s">
        <v>496</v>
      </c>
      <c r="C267" s="5" t="s">
        <v>354</v>
      </c>
    </row>
    <row r="268" spans="2:3" ht="16.5" x14ac:dyDescent="0.25">
      <c r="B268" s="7" t="s">
        <v>497</v>
      </c>
      <c r="C268" s="5" t="s">
        <v>354</v>
      </c>
    </row>
    <row r="269" spans="2:3" ht="16.5" x14ac:dyDescent="0.25">
      <c r="B269" s="7" t="s">
        <v>498</v>
      </c>
      <c r="C269" s="5" t="s">
        <v>354</v>
      </c>
    </row>
    <row r="270" spans="2:3" ht="16.5" x14ac:dyDescent="0.25">
      <c r="B270" s="7" t="s">
        <v>499</v>
      </c>
      <c r="C270" s="5" t="s">
        <v>354</v>
      </c>
    </row>
    <row r="271" spans="2:3" ht="16.5" x14ac:dyDescent="0.25">
      <c r="B271" s="7" t="s">
        <v>500</v>
      </c>
      <c r="C271" s="5" t="s">
        <v>354</v>
      </c>
    </row>
    <row r="272" spans="2:3" ht="16.5" x14ac:dyDescent="0.25">
      <c r="B272" s="7" t="s">
        <v>501</v>
      </c>
      <c r="C272" s="5" t="s">
        <v>354</v>
      </c>
    </row>
    <row r="273" spans="2:3" ht="16.5" x14ac:dyDescent="0.25">
      <c r="B273" s="7" t="s">
        <v>124</v>
      </c>
      <c r="C273" s="5" t="s">
        <v>354</v>
      </c>
    </row>
    <row r="274" spans="2:3" ht="16.5" x14ac:dyDescent="0.25">
      <c r="B274" s="7" t="s">
        <v>502</v>
      </c>
      <c r="C274" s="5" t="s">
        <v>354</v>
      </c>
    </row>
    <row r="275" spans="2:3" ht="16.5" x14ac:dyDescent="0.25">
      <c r="B275" s="7" t="s">
        <v>503</v>
      </c>
      <c r="C275" s="5" t="s">
        <v>354</v>
      </c>
    </row>
    <row r="276" spans="2:3" ht="16.5" x14ac:dyDescent="0.25">
      <c r="B276" s="7" t="s">
        <v>504</v>
      </c>
      <c r="C276" s="5" t="s">
        <v>354</v>
      </c>
    </row>
    <row r="277" spans="2:3" ht="16.5" x14ac:dyDescent="0.25">
      <c r="B277" s="7" t="s">
        <v>505</v>
      </c>
      <c r="C277" s="5" t="s">
        <v>354</v>
      </c>
    </row>
    <row r="278" spans="2:3" ht="16.5" x14ac:dyDescent="0.25">
      <c r="B278" s="7" t="s">
        <v>506</v>
      </c>
      <c r="C278" s="5" t="s">
        <v>354</v>
      </c>
    </row>
    <row r="279" spans="2:3" ht="16.5" x14ac:dyDescent="0.25">
      <c r="B279" s="7" t="s">
        <v>507</v>
      </c>
      <c r="C279" s="5" t="s">
        <v>354</v>
      </c>
    </row>
    <row r="280" spans="2:3" ht="16.5" x14ac:dyDescent="0.25">
      <c r="B280" s="7" t="s">
        <v>508</v>
      </c>
      <c r="C280" s="5" t="s">
        <v>354</v>
      </c>
    </row>
    <row r="281" spans="2:3" ht="16.5" x14ac:dyDescent="0.25">
      <c r="B281" s="7" t="s">
        <v>509</v>
      </c>
      <c r="C281" s="5" t="s">
        <v>354</v>
      </c>
    </row>
    <row r="282" spans="2:3" ht="16.5" x14ac:dyDescent="0.25">
      <c r="B282" s="7" t="s">
        <v>510</v>
      </c>
      <c r="C282" s="5" t="s">
        <v>354</v>
      </c>
    </row>
    <row r="283" spans="2:3" ht="16.5" x14ac:dyDescent="0.25">
      <c r="B283" s="7" t="s">
        <v>511</v>
      </c>
      <c r="C283" s="5" t="s">
        <v>354</v>
      </c>
    </row>
    <row r="284" spans="2:3" ht="16.5" x14ac:dyDescent="0.25">
      <c r="B284" s="7" t="s">
        <v>512</v>
      </c>
      <c r="C284" s="5" t="s">
        <v>354</v>
      </c>
    </row>
    <row r="285" spans="2:3" ht="16.5" x14ac:dyDescent="0.25">
      <c r="B285" s="7" t="s">
        <v>278</v>
      </c>
      <c r="C285" s="5" t="s">
        <v>354</v>
      </c>
    </row>
    <row r="286" spans="2:3" ht="16.5" x14ac:dyDescent="0.25">
      <c r="B286" s="7" t="s">
        <v>121</v>
      </c>
      <c r="C286" s="5" t="s">
        <v>354</v>
      </c>
    </row>
    <row r="287" spans="2:3" ht="16.5" x14ac:dyDescent="0.25">
      <c r="B287" s="7" t="s">
        <v>513</v>
      </c>
      <c r="C287" s="5" t="s">
        <v>354</v>
      </c>
    </row>
    <row r="288" spans="2:3" ht="16.5" x14ac:dyDescent="0.25">
      <c r="B288" s="7" t="s">
        <v>514</v>
      </c>
      <c r="C288" s="5" t="s">
        <v>354</v>
      </c>
    </row>
    <row r="289" spans="2:4" ht="16.5" x14ac:dyDescent="0.25">
      <c r="B289" s="7" t="s">
        <v>515</v>
      </c>
      <c r="C289" s="5" t="s">
        <v>354</v>
      </c>
    </row>
    <row r="290" spans="2:4" ht="16.5" x14ac:dyDescent="0.25">
      <c r="B290" s="7" t="s">
        <v>516</v>
      </c>
      <c r="C290" s="5" t="s">
        <v>354</v>
      </c>
    </row>
    <row r="291" spans="2:4" ht="16.5" x14ac:dyDescent="0.25">
      <c r="B291" s="1" t="s">
        <v>517</v>
      </c>
      <c r="C291" s="2">
        <v>700</v>
      </c>
    </row>
    <row r="292" spans="2:4" ht="16.5" x14ac:dyDescent="0.25">
      <c r="B292" s="1" t="s">
        <v>518</v>
      </c>
      <c r="C292" s="2">
        <v>445</v>
      </c>
      <c r="D292" s="1" t="s">
        <v>519</v>
      </c>
    </row>
    <row r="293" spans="2:4" ht="16.5" x14ac:dyDescent="0.25">
      <c r="B293" s="1" t="s">
        <v>520</v>
      </c>
      <c r="C293" s="5">
        <v>620</v>
      </c>
    </row>
    <row r="294" spans="2:4" ht="16.5" x14ac:dyDescent="0.25">
      <c r="B294" s="1" t="s">
        <v>521</v>
      </c>
      <c r="C294" s="5" t="s">
        <v>522</v>
      </c>
      <c r="D294" s="5"/>
    </row>
    <row r="295" spans="2:4" ht="16.5" x14ac:dyDescent="0.25">
      <c r="B295" s="1" t="s">
        <v>523</v>
      </c>
      <c r="C295" s="2">
        <v>700</v>
      </c>
    </row>
    <row r="296" spans="2:4" ht="16.5" x14ac:dyDescent="0.25">
      <c r="B296" s="1" t="s">
        <v>525</v>
      </c>
      <c r="C296" s="2">
        <v>700</v>
      </c>
      <c r="D296" s="1" t="s">
        <v>524</v>
      </c>
    </row>
    <row r="297" spans="2:4" ht="16.5" x14ac:dyDescent="0.25">
      <c r="B297" s="1" t="s">
        <v>526</v>
      </c>
      <c r="C297" s="2">
        <v>360</v>
      </c>
      <c r="D297" t="s">
        <v>527</v>
      </c>
    </row>
    <row r="298" spans="2:4" ht="16.5" x14ac:dyDescent="0.25">
      <c r="B298" s="1" t="s">
        <v>530</v>
      </c>
      <c r="C298" s="2">
        <v>700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준호 조</dc:creator>
  <cp:lastModifiedBy>준호 조</cp:lastModifiedBy>
  <dcterms:created xsi:type="dcterms:W3CDTF">2026-04-30T02:04:15Z</dcterms:created>
  <dcterms:modified xsi:type="dcterms:W3CDTF">2026-04-30T05:18:07Z</dcterms:modified>
</cp:coreProperties>
</file>